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jajbroking-my.sharepoint.com/personal/siddhant_sawant_bajajbroking_in/Documents/"/>
    </mc:Choice>
  </mc:AlternateContent>
  <xr:revisionPtr revIDLastSave="399" documentId="8_{54611F0E-0766-4D97-8626-45333FCED7E0}" xr6:coauthVersionLast="47" xr6:coauthVersionMax="47" xr10:uidLastSave="{8BBB2D34-367D-4A18-A3D7-BC5F47B9E928}"/>
  <bookViews>
    <workbookView xWindow="-110" yWindow="-110" windowWidth="19420" windowHeight="11500" xr2:uid="{9699F740-2B94-447D-9E4B-153762A7606C}"/>
  </bookViews>
  <sheets>
    <sheet name="Broking data" sheetId="1" r:id="rId1"/>
    <sheet name="MF &amp; SIF Data" sheetId="5" r:id="rId2"/>
    <sheet name="NSE active client data" sheetId="4" r:id="rId3"/>
    <sheet name="Sheet2" sheetId="2" r:id="rId4"/>
    <sheet name="Competition data" sheetId="6" r:id="rId5"/>
  </sheets>
  <externalReferences>
    <externalReference r:id="rId6"/>
  </externalReferences>
  <definedNames>
    <definedName name="_xlnm._FilterDatabase" localSheetId="2" hidden="1">'NSE active client data'!$A$2:$F$234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4" i="4" l="1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G62" i="4" s="1"/>
  <c r="F63" i="4"/>
  <c r="F64" i="4"/>
  <c r="G64" i="4" s="1"/>
  <c r="F65" i="4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F141" i="4"/>
  <c r="F142" i="4"/>
  <c r="G142" i="4" s="1"/>
  <c r="F143" i="4"/>
  <c r="G143" i="4" s="1"/>
  <c r="F144" i="4"/>
  <c r="F145" i="4"/>
  <c r="G145" i="4" s="1"/>
  <c r="F146" i="4"/>
  <c r="G146" i="4" s="1"/>
  <c r="F147" i="4"/>
  <c r="G147" i="4" s="1"/>
  <c r="F148" i="4"/>
  <c r="F149" i="4"/>
  <c r="G149" i="4" s="1"/>
  <c r="F150" i="4"/>
  <c r="G150" i="4" s="1"/>
  <c r="F151" i="4"/>
  <c r="G151" i="4" s="1"/>
  <c r="F152" i="4"/>
  <c r="G152" i="4" s="1"/>
  <c r="F153" i="4"/>
  <c r="F154" i="4"/>
  <c r="G154" i="4" s="1"/>
  <c r="F155" i="4"/>
  <c r="G155" i="4" s="1"/>
  <c r="F156" i="4"/>
  <c r="G156" i="4" s="1"/>
  <c r="F157" i="4"/>
  <c r="G157" i="4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F164" i="4"/>
  <c r="G164" i="4" s="1"/>
  <c r="F165" i="4"/>
  <c r="G165" i="4" s="1"/>
  <c r="F166" i="4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F174" i="4"/>
  <c r="G174" i="4" s="1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87" i="4"/>
  <c r="G187" i="4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F207" i="4"/>
  <c r="F208" i="4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F217" i="4"/>
  <c r="F218" i="4"/>
  <c r="G218" i="4" s="1"/>
  <c r="F219" i="4"/>
  <c r="G219" i="4" s="1"/>
  <c r="F220" i="4"/>
  <c r="G220" i="4" s="1"/>
  <c r="F221" i="4"/>
  <c r="G221" i="4" s="1"/>
  <c r="F222" i="4"/>
  <c r="G222" i="4" s="1"/>
  <c r="F223" i="4"/>
  <c r="G223" i="4" s="1"/>
  <c r="F224" i="4"/>
  <c r="G224" i="4" s="1"/>
  <c r="F225" i="4"/>
  <c r="G225" i="4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K42" i="4"/>
  <c r="L2" i="4"/>
  <c r="I61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3" i="4"/>
  <c r="G65" i="4"/>
  <c r="AF5" i="1"/>
  <c r="AG36" i="1"/>
  <c r="E236" i="4"/>
  <c r="E237" i="4" s="1"/>
  <c r="AB30" i="1"/>
  <c r="AC32" i="1"/>
  <c r="AD32" i="1"/>
  <c r="AE32" i="1"/>
  <c r="AF32" i="1"/>
  <c r="AC30" i="1"/>
  <c r="AD30" i="1"/>
  <c r="AE30" i="1"/>
  <c r="AF30" i="1"/>
  <c r="AD5" i="1"/>
  <c r="AE5" i="1"/>
  <c r="AE6" i="1" s="1"/>
  <c r="AB32" i="1"/>
  <c r="AE36" i="1"/>
  <c r="AF36" i="1"/>
  <c r="AD36" i="1"/>
  <c r="D5" i="1"/>
  <c r="P36" i="1"/>
  <c r="F35" i="1"/>
  <c r="E35" i="1"/>
  <c r="E36" i="1" s="1"/>
  <c r="G36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0" i="1"/>
  <c r="E32" i="1"/>
  <c r="G43" i="4" l="1"/>
  <c r="F236" i="4"/>
  <c r="F237" i="4" s="1"/>
  <c r="G153" i="4"/>
  <c r="AF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O36" i="1"/>
  <c r="N36" i="1"/>
  <c r="M36" i="1"/>
  <c r="L36" i="1"/>
  <c r="K36" i="1"/>
  <c r="J36" i="1"/>
  <c r="I36" i="1"/>
  <c r="H36" i="1"/>
  <c r="F36" i="1"/>
  <c r="AC5" i="1"/>
  <c r="Q5" i="1"/>
  <c r="R5" i="1"/>
  <c r="S5" i="1"/>
  <c r="T5" i="1"/>
  <c r="U5" i="1"/>
  <c r="V5" i="1"/>
  <c r="W5" i="1"/>
  <c r="X5" i="1"/>
  <c r="Y5" i="1"/>
  <c r="Z5" i="1"/>
  <c r="AA5" i="1"/>
  <c r="AB5" i="1"/>
  <c r="AC6" i="1" l="1"/>
  <c r="AD6" i="1"/>
  <c r="AB6" i="1"/>
  <c r="Z6" i="1"/>
  <c r="R6" i="1"/>
  <c r="T6" i="1"/>
  <c r="V6" i="1"/>
  <c r="W6" i="1"/>
  <c r="AA6" i="1"/>
  <c r="X6" i="1"/>
  <c r="U6" i="1"/>
  <c r="S6" i="1"/>
  <c r="Y6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P5" i="1" l="1"/>
  <c r="O5" i="1"/>
  <c r="N5" i="1"/>
  <c r="M5" i="1"/>
  <c r="L5" i="1"/>
  <c r="K5" i="1"/>
  <c r="J5" i="1"/>
  <c r="I5" i="1"/>
  <c r="H5" i="1"/>
  <c r="G5" i="1"/>
  <c r="F5" i="1"/>
  <c r="E5" i="1"/>
  <c r="E6" i="1" s="1"/>
  <c r="K6" i="1" l="1"/>
  <c r="M6" i="1"/>
  <c r="H6" i="1"/>
  <c r="P6" i="1"/>
  <c r="Q6" i="1"/>
  <c r="I6" i="1"/>
  <c r="J6" i="1"/>
  <c r="L6" i="1"/>
  <c r="F6" i="1"/>
  <c r="N6" i="1"/>
  <c r="G6" i="1"/>
  <c r="O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tc={710D06BC-7ED4-4E49-962B-65BA4A7F7CE7}</author>
  </authors>
  <commentList>
    <comment ref="D6" authorId="0" shapeId="0" xr:uid="{710D06BC-7ED4-4E49-962B-65BA4A7F7C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@Mridul Sapra not updated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tc={2FDD5EC1-B50C-4426-BD2A-07F40FC52522}</author>
  </authors>
  <commentList>
    <comment ref="F2" authorId="0" shapeId="0" xr:uid="{2FDD5EC1-B50C-4426-BD2A-07F40FC5252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@Siddhant Sawant add july data</t>
      </text>
    </comment>
  </commentList>
</comments>
</file>

<file path=xl/sharedStrings.xml><?xml version="1.0" encoding="utf-8"?>
<sst xmlns="http://schemas.openxmlformats.org/spreadsheetml/2006/main" count="674" uniqueCount="326">
  <si>
    <t>Source</t>
  </si>
  <si>
    <t>Trading Days</t>
  </si>
  <si>
    <t>NSE/ Sebi bulletin</t>
  </si>
  <si>
    <t>SEBI bulletin</t>
  </si>
  <si>
    <t>New Demat Account</t>
  </si>
  <si>
    <t>Difference of 2 &amp; 3</t>
  </si>
  <si>
    <t>NSE Pulse</t>
  </si>
  <si>
    <t>FII Volume (cash)</t>
  </si>
  <si>
    <t>DII Volume (Cash)</t>
  </si>
  <si>
    <t>M cap wise</t>
  </si>
  <si>
    <t>Overall</t>
  </si>
  <si>
    <t>https://www.nseindia.com/all-reports</t>
  </si>
  <si>
    <t>https://www.bseindia.com/markets/equity/eqreports/grossdel</t>
  </si>
  <si>
    <t>Month</t>
  </si>
  <si>
    <t>NSDL</t>
  </si>
  <si>
    <t>CDSL</t>
  </si>
  <si>
    <t>Total</t>
  </si>
  <si>
    <t>NSDL Demat Account (In Cr)</t>
  </si>
  <si>
    <t>CDSL Demat Account (InCr)</t>
  </si>
  <si>
    <t>NSE Unique PANs (In Cr)</t>
  </si>
  <si>
    <t>NSE MTF Book (In Cr)</t>
  </si>
  <si>
    <t>Take from Amit</t>
  </si>
  <si>
    <t>BSE MTF Book (In Cr)</t>
  </si>
  <si>
    <t>Total MTF book (In cr)</t>
  </si>
  <si>
    <t>4.08</t>
  </si>
  <si>
    <t>Total Volume (Notional) (In cr)</t>
  </si>
  <si>
    <t>F&amp;O Volume (Notional)(In cr)</t>
  </si>
  <si>
    <t>Private Indian promoters (lakh Crore)</t>
  </si>
  <si>
    <t>Foreign promoters  (lakh Crore)</t>
  </si>
  <si>
    <t>Passive DMFs ^  (lakh Crore)</t>
  </si>
  <si>
    <t>Active DMFs $  (lakh Crore)</t>
  </si>
  <si>
    <t>Banks, FIs &amp; Insurance   (lakh Crore)</t>
  </si>
  <si>
    <t>FPIs *   (lakh Crore)</t>
  </si>
  <si>
    <t>Non-promoter corporate   (lakh Crore)</t>
  </si>
  <si>
    <t>Individual Investor   (lakh Crore)</t>
  </si>
  <si>
    <t>Others **   (lakh Crore)</t>
  </si>
  <si>
    <t>Total Volume (premium) (In cr)</t>
  </si>
  <si>
    <t>F&amp;O Volume (Premium)  (In cr)</t>
  </si>
  <si>
    <t>Equity Volume (In cr)</t>
  </si>
  <si>
    <t>Govt (lakh Crore)</t>
  </si>
  <si>
    <t>NSE retail cash ADTO(In Cr)</t>
  </si>
  <si>
    <t>NSE retail Futures ADTO(InCr)</t>
  </si>
  <si>
    <t>NSE retail options ADTO(In Cr)</t>
  </si>
  <si>
    <t>FII Volume (OPTION)</t>
  </si>
  <si>
    <t>FII Volume (Future)</t>
  </si>
  <si>
    <t>Screeni And Direct file (https://www.nseindia.com/invest/arbitration-status)</t>
  </si>
  <si>
    <t>Total Demat accounts</t>
  </si>
  <si>
    <t>NSE Active clients (In Cr)</t>
  </si>
  <si>
    <t>NAME OF THE TM</t>
  </si>
  <si>
    <t>Groww Invest Tech Private Limited</t>
  </si>
  <si>
    <t>Zerodha Broking Limited</t>
  </si>
  <si>
    <t>Angel One Limited</t>
  </si>
  <si>
    <t>Icici Securities Limited</t>
  </si>
  <si>
    <t>Upstox Securities Private Limited</t>
  </si>
  <si>
    <t>Kotak Securities Ltd.</t>
  </si>
  <si>
    <t>Hdfc Securities Ltd.</t>
  </si>
  <si>
    <t>Sbicap Securities Limited</t>
  </si>
  <si>
    <t>Motilal Oswal Financial Services Limited</t>
  </si>
  <si>
    <t>Paytm Money Ltd.</t>
  </si>
  <si>
    <t>Indstocks Private Limited</t>
  </si>
  <si>
    <t>Sharekhan Ltd.</t>
  </si>
  <si>
    <t>Axis Securities Limited</t>
  </si>
  <si>
    <t>Iifl Capital Services Ltd.</t>
  </si>
  <si>
    <t>5paisa Capital Limited</t>
  </si>
  <si>
    <t>Choice Equity Broking Private Limited</t>
  </si>
  <si>
    <t>Mirae Asset Capital Markets ( India ) Private Limited</t>
  </si>
  <si>
    <t>Geojit Investments Limited</t>
  </si>
  <si>
    <t>Phonepe Wealth Broking Private Limited</t>
  </si>
  <si>
    <t>Fyers Securities Private Limited</t>
  </si>
  <si>
    <t>Smc Global Securities Ltd.</t>
  </si>
  <si>
    <t>Anand Rathi Share And Stock Brokers Limited</t>
  </si>
  <si>
    <t>Nuvama Wealth And Investment Limited.</t>
  </si>
  <si>
    <t>Jainam Broking Limited</t>
  </si>
  <si>
    <t>Religare Broking Limited</t>
  </si>
  <si>
    <t>Nirmal Bang Securities Pvt. Ltd.</t>
  </si>
  <si>
    <t>Jm Financial Services Limited</t>
  </si>
  <si>
    <t>Finvasia Securities Private Limited</t>
  </si>
  <si>
    <t>Alice Blue Fin Svcs P Ltd</t>
  </si>
  <si>
    <t>Yes Securities (india) Limited</t>
  </si>
  <si>
    <t>Tradebulls Securities (p) Ltd.</t>
  </si>
  <si>
    <t>Stockholding Services Limited</t>
  </si>
  <si>
    <t>Nj India Invest Private Limited</t>
  </si>
  <si>
    <t>Aditya Birla Money Limited</t>
  </si>
  <si>
    <t>Bajaj Financial Securities Ltd.</t>
  </si>
  <si>
    <t>Master Capital Services Limited</t>
  </si>
  <si>
    <t>Jhaveri Securities Limited</t>
  </si>
  <si>
    <t>Idbi Capital Markets &amp; Securities Ltd.</t>
  </si>
  <si>
    <t>Globe Capital Market Limited</t>
  </si>
  <si>
    <t>Bonanza Portfolio Ltd.</t>
  </si>
  <si>
    <t>Arihant Capital Markets Limited</t>
  </si>
  <si>
    <t>Swastika Investmart Limited</t>
  </si>
  <si>
    <t>Indiabulls Securities Limited (formerly Known As Dhani Stocks Limited)</t>
  </si>
  <si>
    <t>Integrated Enterprises (india) Private Limited</t>
  </si>
  <si>
    <t>Samco Securities Limited</t>
  </si>
  <si>
    <t>Sushil Financial Services Private Limited</t>
  </si>
  <si>
    <t>Prabhudas Lilladher Pvt. Ltd.</t>
  </si>
  <si>
    <t>Flattrade Broking Private Limited</t>
  </si>
  <si>
    <t>Univest Stock Broking Private Limited</t>
  </si>
  <si>
    <t>Eureka Stock &amp; Share Broking Services Limited</t>
  </si>
  <si>
    <t>Profitmart Securities Private Limited</t>
  </si>
  <si>
    <t>Shriram Insight Share Brokers Limited</t>
  </si>
  <si>
    <t>Lkp Securities Ltd.</t>
  </si>
  <si>
    <t>Goodwill Wealth Management Pvt Ltd</t>
  </si>
  <si>
    <t>Kifs Trade Capital Private Limited</t>
  </si>
  <si>
    <t>Ashika Stock Broking Ltd.</t>
  </si>
  <si>
    <t>B N Rathi Securities Limited</t>
  </si>
  <si>
    <t>Canara Bank Securities Limited</t>
  </si>
  <si>
    <t>Acumen Capital Market (india) Ltd</t>
  </si>
  <si>
    <t>Finwizard Technology Private Limited</t>
  </si>
  <si>
    <t>Bob Capital Markets Limited</t>
  </si>
  <si>
    <t>Navia Markets Ltd.</t>
  </si>
  <si>
    <t>Rudra Shares &amp; Stock Brokers Ltd</t>
  </si>
  <si>
    <t>Indbank Merchant Banking Services Ltd.</t>
  </si>
  <si>
    <t>Bgse Financials Limited</t>
  </si>
  <si>
    <t>Bp Equities Private Limited</t>
  </si>
  <si>
    <t>Enrich Financial Market Private Limited</t>
  </si>
  <si>
    <t>Share India Securities Limited</t>
  </si>
  <si>
    <t>Prithvi Finmart Private Limited</t>
  </si>
  <si>
    <t>R K Global Shares &amp; Securities Limited</t>
  </si>
  <si>
    <t>Wealthyin Broking Private Limited</t>
  </si>
  <si>
    <t>Smifs Limited</t>
  </si>
  <si>
    <t>Mangal Keshav Financial Services Llp</t>
  </si>
  <si>
    <t>Raghunandan Capital Private Limited</t>
  </si>
  <si>
    <t>Elite Wealth Limited</t>
  </si>
  <si>
    <t>Peerless Securities Limited</t>
  </si>
  <si>
    <t>Ashlar Securities Private Limited</t>
  </si>
  <si>
    <t>Kantilal Chhaganlal Securities Private Limited</t>
  </si>
  <si>
    <t>Arham Wealth Management Pvt Ltd</t>
  </si>
  <si>
    <t>Rksv Commodities India Private Limited</t>
  </si>
  <si>
    <t>Centrum Broking Limited</t>
  </si>
  <si>
    <t>Ats Share Brokers Private Limited</t>
  </si>
  <si>
    <t>Pocketful Fintech Capital Private Limited</t>
  </si>
  <si>
    <t>Greshma Shares &amp; Stocks Limited</t>
  </si>
  <si>
    <t>Motisons Shares Private Limited</t>
  </si>
  <si>
    <t>NA</t>
  </si>
  <si>
    <t>Dealmoney Commodities Pvt. Ltd.</t>
  </si>
  <si>
    <t>Ski Capital Services Ltd.</t>
  </si>
  <si>
    <t>Fair Intermediate Investment Pvt. Ltd.</t>
  </si>
  <si>
    <t>Uae Exchange &amp; Finance Ltd.</t>
  </si>
  <si>
    <t>Interactive Brokers (india) Private Limited</t>
  </si>
  <si>
    <t>Mintcap Brokers Private Limited</t>
  </si>
  <si>
    <t>Nuvama Wealth Management Limited</t>
  </si>
  <si>
    <t>Marck Securities Pvt. Ltd.</t>
  </si>
  <si>
    <t>Sunshine Stock Broking Private Limited</t>
  </si>
  <si>
    <t xml:space="preserve">Nirmal Bang Equities Private Limited </t>
  </si>
  <si>
    <t>Singhal Capital Services Ltd.</t>
  </si>
  <si>
    <t>New Berry Capitals Private Limited</t>
  </si>
  <si>
    <t>Arete Securities Limited</t>
  </si>
  <si>
    <t>Ksn Credence Commodities Trading Private Limited</t>
  </si>
  <si>
    <t>Maheshwari Equity Services (p) Limited</t>
  </si>
  <si>
    <t>Dhan Stock &amp; Share Brokers Pvt. Ltd.</t>
  </si>
  <si>
    <t>Share India Algoplus Private Limited</t>
  </si>
  <si>
    <t>Trdez Investment Private Limited</t>
  </si>
  <si>
    <t>Icici Bank Ltd.</t>
  </si>
  <si>
    <t>123 Capitals</t>
  </si>
  <si>
    <t>Union Bank Of India</t>
  </si>
  <si>
    <t>Lalkar Securities Private Limited</t>
  </si>
  <si>
    <t>Finsol Securities Private Limited</t>
  </si>
  <si>
    <t>Achintya Securities Limited</t>
  </si>
  <si>
    <t>Junomoneta Finsol Private Limited</t>
  </si>
  <si>
    <t>Barclays Securities (india) Private Limited</t>
  </si>
  <si>
    <t>Fourdegreewater Services Private Limited</t>
  </si>
  <si>
    <t>-</t>
  </si>
  <si>
    <t>Hsbc Securities &amp; Capital Markets (india) Pvt. Ltd.</t>
  </si>
  <si>
    <t>Marketwolf Securities Private Limited</t>
  </si>
  <si>
    <t>Monarch Networth Capital Limited</t>
  </si>
  <si>
    <t>Navkar Share &amp; Stock Brokers Private Limited</t>
  </si>
  <si>
    <t>Stockology Securities Private Limited</t>
  </si>
  <si>
    <t>Tata Securities Ltd.</t>
  </si>
  <si>
    <t>Tradeswift Broking Private Limited</t>
  </si>
  <si>
    <t>Ventura Securities Limited</t>
  </si>
  <si>
    <t>Zanskar Securities Private Limited</t>
  </si>
  <si>
    <t>Ajcon Global Services Limited</t>
  </si>
  <si>
    <t>Arcadia Commodities &amp; Trading</t>
  </si>
  <si>
    <t>Avendus Wealth Management Private Limited</t>
  </si>
  <si>
    <t>Bajaj Share &amp; Stock Brokers Pvt. Ltd</t>
  </si>
  <si>
    <t>Baljit Securities Pvt. Ltd.</t>
  </si>
  <si>
    <t>Bank Of India</t>
  </si>
  <si>
    <t>Bonanza Commodity Brokers Pvt. Ltd.</t>
  </si>
  <si>
    <t>Centrum Finverse Limited</t>
  </si>
  <si>
    <t>Dgp Securities Ltd.</t>
  </si>
  <si>
    <t>Essence Investments &amp; Finance Ltd.</t>
  </si>
  <si>
    <t>Fortune Capital Services</t>
  </si>
  <si>
    <t>Gepl Capital Private Limited</t>
  </si>
  <si>
    <t>Growth Securities Private Limited</t>
  </si>
  <si>
    <t>Jk Securities Pvt. Ltd.</t>
  </si>
  <si>
    <t>Kedia Shares &amp; Stocks Brokers Limited</t>
  </si>
  <si>
    <t>Kotak Commodity Services Private Limited</t>
  </si>
  <si>
    <t>Kunvarji Finstock Pvt. Ltd.</t>
  </si>
  <si>
    <t>Mandot Securities Private Limited</t>
  </si>
  <si>
    <t>Marwadi Shares And Finance Limited</t>
  </si>
  <si>
    <t>Multigain Securities Services Pvt. Ltd.</t>
  </si>
  <si>
    <t>Pcs Securities Ltd.</t>
  </si>
  <si>
    <t>Prudent Broking Services Private Limited</t>
  </si>
  <si>
    <t>Rikhav Securities Limited</t>
  </si>
  <si>
    <t>Rudranath Stock Broking Private Limited</t>
  </si>
  <si>
    <t>Shri Parasram Holdings Pvt. Ltd.</t>
  </si>
  <si>
    <t>Trust Securities Services Private Limited</t>
  </si>
  <si>
    <t>Trustline Securities Limited</t>
  </si>
  <si>
    <t>Wealth Mantra Commodities Pvt Ltd</t>
  </si>
  <si>
    <t>Rapid Capital Services</t>
  </si>
  <si>
    <t>1 Finance Private Ltd</t>
  </si>
  <si>
    <t>Stable Broking Private Limited</t>
  </si>
  <si>
    <t>Hdfc Bank Ltd</t>
  </si>
  <si>
    <t>Indusind Bank Limited</t>
  </si>
  <si>
    <t>Kotak Mahindra Bank Ltd.</t>
  </si>
  <si>
    <t>Prachay Securities Private Limited</t>
  </si>
  <si>
    <t>Bnr Capital Services Pvt.ltd.</t>
  </si>
  <si>
    <t>Grip Broking Private Limited</t>
  </si>
  <si>
    <t>Indo Money Securities Private Limited</t>
  </si>
  <si>
    <t>Karvy Comtrade Limited</t>
  </si>
  <si>
    <t>Quant Institutional Equities Private Limited</t>
  </si>
  <si>
    <t>Gopocket Invest Tech Private Limited (formerly Known As Sky Commodities India Pvt Ltd)</t>
  </si>
  <si>
    <t>Indusind Securities Limited</t>
  </si>
  <si>
    <t>Citadel Securities India Markets Private Limited</t>
  </si>
  <si>
    <t>Citibank N.a.</t>
  </si>
  <si>
    <t>Inventure Growth &amp; Securities Limited</t>
  </si>
  <si>
    <t>Mse Financial Services Ltd.</t>
  </si>
  <si>
    <t>Sunlight Broking Llp</t>
  </si>
  <si>
    <t>Way2wealth Brokers Private Limited</t>
  </si>
  <si>
    <t>4a Securities Ltd</t>
  </si>
  <si>
    <t>Astha Credit &amp; Securities (p) Ltd</t>
  </si>
  <si>
    <t>Aum Securities Private Ltd.</t>
  </si>
  <si>
    <t>Axis Bank Ltd.</t>
  </si>
  <si>
    <t>Balaji Equities Ltd.</t>
  </si>
  <si>
    <t>Definedge Securities Broking Private Limited</t>
  </si>
  <si>
    <t>Edelweiss Comtrade Limited</t>
  </si>
  <si>
    <t>Fingeek Digital Private Limited</t>
  </si>
  <si>
    <t>Frr Shares And Securities Limited</t>
  </si>
  <si>
    <t>Ghalla Bhansali Stock Brokers Private Limited</t>
  </si>
  <si>
    <t>Grow-on Portfolio Pvt.ltd.</t>
  </si>
  <si>
    <t>Hensex Securities Private Limited</t>
  </si>
  <si>
    <t>India Advantage Securities Private Limited</t>
  </si>
  <si>
    <t>Kifs Broking Private Limited</t>
  </si>
  <si>
    <t>Lakshmishree Investment &amp; Securities Pvt. Ltd.</t>
  </si>
  <si>
    <t>Market Pulse Securities Private Limited</t>
  </si>
  <si>
    <t>Morgan Stanley India Company Private Limited</t>
  </si>
  <si>
    <t>Orbis Financial Corporation Limited</t>
  </si>
  <si>
    <t>Pace Stock Broking Services Private Limited</t>
  </si>
  <si>
    <t>Punjab National Bank</t>
  </si>
  <si>
    <t>Quant Securities Private Limited</t>
  </si>
  <si>
    <t>Shri Ram Commodities</t>
  </si>
  <si>
    <t>State Bank Of India</t>
  </si>
  <si>
    <t>Tradejini Financial Services Pvt Ltd</t>
  </si>
  <si>
    <t>Zuari Finserv Limited</t>
  </si>
  <si>
    <t xml:space="preserve">Stock Holding Corporation Of India Ltd. </t>
  </si>
  <si>
    <t>Grand Total</t>
  </si>
  <si>
    <t>Others</t>
  </si>
  <si>
    <t>Stockfield Financial Services Private Limited</t>
  </si>
  <si>
    <t>Pravin Ratilal Share And Stock Brokers Ltd</t>
  </si>
  <si>
    <t>Nnm Securities Pvt. Ltd.</t>
  </si>
  <si>
    <t>Nikunj Stock Brokers Ltd.</t>
  </si>
  <si>
    <t>Khosla Tradewise Private Limited</t>
  </si>
  <si>
    <t>Econo Broking Private Limited</t>
  </si>
  <si>
    <t>Dynamic Equities Private Limited</t>
  </si>
  <si>
    <t>Bondbazaar Securities Private Limited</t>
  </si>
  <si>
    <t>Ans Pvt. Ltd.</t>
  </si>
  <si>
    <t>Alankit Imaginations Limited</t>
  </si>
  <si>
    <t>Aionion Capital Market Services Private Limited</t>
  </si>
  <si>
    <t>Abhipra Capital Limited</t>
  </si>
  <si>
    <t>Svcm Securities Private Limited</t>
  </si>
  <si>
    <t>Ifci Financial Services Limited</t>
  </si>
  <si>
    <t>Bhansali Value Creations Private Limited</t>
  </si>
  <si>
    <t xml:space="preserve">Kedia Capital Services Private Limited </t>
  </si>
  <si>
    <t>Adroit Financial Services Private Limited</t>
  </si>
  <si>
    <t xml:space="preserve"> https://www.nseindia.com/invest/arbitration-status    </t>
  </si>
  <si>
    <t>Src</t>
  </si>
  <si>
    <t>SIP Flows</t>
  </si>
  <si>
    <t>SIP AUM</t>
  </si>
  <si>
    <t>MF customers</t>
  </si>
  <si>
    <t>SIF AUM</t>
  </si>
  <si>
    <t>SIF customers</t>
  </si>
  <si>
    <t>Particulars</t>
  </si>
  <si>
    <t>Bajaj Broking</t>
  </si>
  <si>
    <t>Equity</t>
  </si>
  <si>
    <t>Commodity</t>
  </si>
  <si>
    <t>MTF interest</t>
  </si>
  <si>
    <t>Total Income</t>
  </si>
  <si>
    <t>Employee cost</t>
  </si>
  <si>
    <t>Total Cost</t>
  </si>
  <si>
    <t>PAT</t>
  </si>
  <si>
    <t>NSE active client</t>
  </si>
  <si>
    <t>Qtrly traded clients</t>
  </si>
  <si>
    <t>New clients added</t>
  </si>
  <si>
    <t>Total client base</t>
  </si>
  <si>
    <t>MF AUM</t>
  </si>
  <si>
    <t>AUM Equity</t>
  </si>
  <si>
    <t>MTF Book</t>
  </si>
  <si>
    <t>Distribution Income</t>
  </si>
  <si>
    <t>Other Income</t>
  </si>
  <si>
    <t>Other Interest Income</t>
  </si>
  <si>
    <t>Employee Count</t>
  </si>
  <si>
    <t>Branches</t>
  </si>
  <si>
    <t>Wealth RMs</t>
  </si>
  <si>
    <t>Src: https://www.5paisa.com/share-market-today/fii-dii-data</t>
  </si>
  <si>
    <t>MF Schemes</t>
  </si>
  <si>
    <t>SIP Accounts</t>
  </si>
  <si>
    <t>SIF Folios</t>
  </si>
  <si>
    <t>SIF Schemes</t>
  </si>
  <si>
    <t>B30 contribution (Lk Cr)</t>
  </si>
  <si>
    <t>T30 contribution  (Lk Cr)</t>
  </si>
  <si>
    <t>Total AUM (Lk Cr)</t>
  </si>
  <si>
    <t>Equity AUM (Lk Cr)</t>
  </si>
  <si>
    <t>MF Folios (Lk Cr)</t>
  </si>
  <si>
    <t>Moneywise Finvest Limited (Stoxkart)</t>
  </si>
  <si>
    <t>Nu Investors Technologies Private Limited (lemonn)</t>
  </si>
  <si>
    <t>South Asian Stocks Ltd. (incredstocko.in)</t>
  </si>
  <si>
    <t>Raise Securities Private Limited (dhan App)( formerly Known As Moneylicious Securities Private Limited)</t>
  </si>
  <si>
    <t>Aaritya Broking Private Ltd (Sahi)</t>
  </si>
  <si>
    <t>Indusind Securities (Reliance Securities Limited)</t>
  </si>
  <si>
    <t>Shah Investors</t>
  </si>
  <si>
    <t>Munoth Financial Services Ltd.</t>
  </si>
  <si>
    <t>Indira Securities Private Limited</t>
  </si>
  <si>
    <t>Sunidhi Securities &amp; Finance Limited</t>
  </si>
  <si>
    <t>Standard Chartered Securities (india) Limited</t>
  </si>
  <si>
    <t>Dyna Wegmans Securities Limited</t>
  </si>
  <si>
    <t>Integra Securities Private Limited</t>
  </si>
  <si>
    <t>Capstocks &amp; Securities (india) Private Limited</t>
  </si>
  <si>
    <t>Muthoot Securities Ltd.</t>
  </si>
  <si>
    <t>Iss Enterprise Limited</t>
  </si>
  <si>
    <t>Neo Wealth Management Private Limited</t>
  </si>
  <si>
    <t>Ambalal Shares And Stocks Private Limited</t>
  </si>
  <si>
    <t>Skp Securities Ltd.</t>
  </si>
  <si>
    <t>Julius Baer Wealth Advisors (india) Private Limited</t>
  </si>
  <si>
    <t>Diff</t>
  </si>
  <si>
    <t>Market Share from July to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</si>
</sst>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#,##0.0"/>
    <numFmt numFmtId="167" formatCode="#,##0;\-#,##0;0"/>
    <numFmt numFmtId="168" formatCode="[$-409]d\-mmm\-yy;@"/>
    <numFmt numFmtId="169" formatCode="0.0"/>
    <numFmt numFmtId="170" formatCode="[$-409]d/mmm/yy;@"/>
    <numFmt numFmtId="171" formatCode="[&gt;=10000000]#.###\,##\,##0;[&gt;=100000]#.###\,##0;##,##0.0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onsolas"/>
      <family val="2"/>
    </font>
    <font>
      <sz val="10"/>
      <color theme="1"/>
      <name val="Garamond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indexed="8"/>
      <name val="Garamond"/>
      <family val="2"/>
    </font>
    <font>
      <sz val="12"/>
      <name val="Arial"/>
      <family val="2"/>
    </font>
    <font>
      <b/>
      <sz val="11"/>
      <color theme="1"/>
      <name val="Rubik"/>
    </font>
    <font>
      <sz val="11"/>
      <color theme="1"/>
      <name val="Rubik"/>
    </font>
    <font>
      <sz val="11"/>
      <name val="Rubik"/>
    </font>
    <font>
      <b/>
      <sz val="11"/>
      <name val="Rubik"/>
    </font>
    <font>
      <sz val="11"/>
      <color indexed="8"/>
      <name val="Rubik"/>
    </font>
    <font>
      <u/>
      <sz val="11"/>
      <color theme="10"/>
      <name val="Rubik"/>
    </font>
    <font>
      <sz val="8"/>
      <color theme="4"/>
      <name val="Rubik"/>
    </font>
    <font>
      <sz val="11"/>
      <color theme="4"/>
      <name val="Aptos Narrow"/>
      <family val="2"/>
      <scheme val="minor"/>
    </font>
    <font>
      <b/>
      <sz val="11"/>
      <color indexed="8"/>
      <name val="Rubik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1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8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169" fontId="4" fillId="0" borderId="0" applyFont="0" applyFill="0" applyBorder="0" applyAlignment="0" applyProtection="0"/>
    <xf numFmtId="168" fontId="3" fillId="0" borderId="0"/>
    <xf numFmtId="0" fontId="4" fillId="0" borderId="0"/>
    <xf numFmtId="0" fontId="3" fillId="0" borderId="0"/>
    <xf numFmtId="43" fontId="4" fillId="0" borderId="0" applyNumberFormat="0" applyFont="0" applyFill="0" applyBorder="0" applyAlignment="0" applyProtection="0"/>
    <xf numFmtId="0" fontId="6" fillId="0" borderId="0"/>
    <xf numFmtId="168" fontId="3" fillId="0" borderId="0"/>
    <xf numFmtId="170" fontId="3" fillId="0" borderId="0"/>
    <xf numFmtId="168" fontId="4" fillId="0" borderId="0" applyNumberFormat="0" applyFill="0" applyBorder="0" applyAlignment="0" applyProtection="0"/>
    <xf numFmtId="168" fontId="4" fillId="0" borderId="0" applyNumberFormat="0" applyFill="0" applyBorder="0" applyAlignment="0" applyProtection="0"/>
    <xf numFmtId="171" fontId="7" fillId="0" borderId="0">
      <alignment horizontal="right"/>
    </xf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NumberFormat="0" applyFill="0" applyBorder="0" applyAlignment="0" applyProtection="0"/>
    <xf numFmtId="168" fontId="3" fillId="0" borderId="0" applyNumberFormat="0" applyFill="0" applyBorder="0" applyAlignment="0" applyProtection="0"/>
    <xf numFmtId="43" fontId="9" fillId="0" borderId="0" applyFont="0" applyFill="0" applyBorder="0" applyAlignment="0" applyProtection="0"/>
    <xf numFmtId="170" fontId="3" fillId="0" borderId="0"/>
    <xf numFmtId="170" fontId="3" fillId="0" borderId="0"/>
    <xf numFmtId="170" fontId="4" fillId="0" borderId="0" applyNumberFormat="0" applyFill="0" applyBorder="0" applyAlignment="0" applyProtection="0"/>
    <xf numFmtId="170" fontId="4" fillId="0" borderId="0" applyNumberFormat="0" applyFill="0" applyBorder="0" applyAlignment="0" applyProtection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9" fontId="9" fillId="0" borderId="0" applyFont="0" applyFill="0" applyBorder="0" applyAlignment="0" applyProtection="0"/>
    <xf numFmtId="168" fontId="6" fillId="0" borderId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68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2" borderId="1" xfId="0" applyFont="1" applyFill="1" applyBorder="1"/>
    <xf numFmtId="17" fontId="11" fillId="2" borderId="1" xfId="0" applyNumberFormat="1" applyFont="1" applyFill="1" applyBorder="1"/>
    <xf numFmtId="0" fontId="12" fillId="0" borderId="0" xfId="0" applyFont="1"/>
    <xf numFmtId="0" fontId="12" fillId="0" borderId="1" xfId="0" applyFont="1" applyBorder="1"/>
    <xf numFmtId="164" fontId="12" fillId="0" borderId="1" xfId="2" applyNumberFormat="1" applyFont="1" applyFill="1" applyBorder="1"/>
    <xf numFmtId="43" fontId="12" fillId="0" borderId="1" xfId="2" applyFont="1" applyBorder="1"/>
    <xf numFmtId="0" fontId="12" fillId="2" borderId="1" xfId="0" applyFont="1" applyFill="1" applyBorder="1"/>
    <xf numFmtId="0" fontId="13" fillId="0" borderId="1" xfId="0" applyFont="1" applyBorder="1" applyAlignment="1">
      <alignment wrapText="1"/>
    </xf>
    <xf numFmtId="166" fontId="14" fillId="0" borderId="1" xfId="0" applyNumberFormat="1" applyFont="1" applyBorder="1" applyAlignment="1">
      <alignment horizontal="center" vertical="center" wrapText="1"/>
    </xf>
    <xf numFmtId="165" fontId="12" fillId="0" borderId="1" xfId="2" applyNumberFormat="1" applyFont="1" applyBorder="1"/>
    <xf numFmtId="43" fontId="12" fillId="0" borderId="0" xfId="2" applyFont="1"/>
    <xf numFmtId="10" fontId="12" fillId="0" borderId="1" xfId="3" applyNumberFormat="1" applyFont="1" applyBorder="1"/>
    <xf numFmtId="9" fontId="12" fillId="0" borderId="1" xfId="3" applyFont="1" applyBorder="1"/>
    <xf numFmtId="164" fontId="12" fillId="0" borderId="1" xfId="2" applyNumberFormat="1" applyFont="1" applyBorder="1"/>
    <xf numFmtId="3" fontId="12" fillId="0" borderId="0" xfId="0" applyNumberFormat="1" applyFont="1"/>
    <xf numFmtId="0" fontId="11" fillId="0" borderId="0" xfId="0" applyFont="1" applyAlignment="1">
      <alignment horizontal="center" vertical="center" wrapText="1"/>
    </xf>
    <xf numFmtId="17" fontId="12" fillId="0" borderId="0" xfId="0" applyNumberFormat="1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3" fontId="12" fillId="0" borderId="1" xfId="0" applyNumberFormat="1" applyFont="1" applyBorder="1"/>
    <xf numFmtId="3" fontId="12" fillId="0" borderId="1" xfId="2" applyNumberFormat="1" applyFont="1" applyFill="1" applyBorder="1"/>
    <xf numFmtId="3" fontId="15" fillId="3" borderId="1" xfId="10" applyNumberFormat="1" applyFont="1" applyFill="1" applyBorder="1" applyAlignment="1">
      <alignment vertical="center"/>
    </xf>
    <xf numFmtId="165" fontId="15" fillId="3" borderId="1" xfId="44" applyNumberFormat="1" applyFont="1" applyFill="1" applyBorder="1" applyAlignment="1">
      <alignment vertical="center"/>
    </xf>
    <xf numFmtId="167" fontId="15" fillId="3" borderId="1" xfId="10" applyNumberFormat="1" applyFont="1" applyFill="1" applyBorder="1" applyAlignment="1">
      <alignment vertical="center"/>
    </xf>
    <xf numFmtId="0" fontId="11" fillId="0" borderId="1" xfId="0" applyFont="1" applyBorder="1"/>
    <xf numFmtId="3" fontId="11" fillId="0" borderId="1" xfId="0" applyNumberFormat="1" applyFont="1" applyBorder="1"/>
    <xf numFmtId="0" fontId="16" fillId="0" borderId="1" xfId="1" applyFont="1" applyBorder="1" applyAlignment="1">
      <alignment wrapText="1"/>
    </xf>
    <xf numFmtId="0" fontId="2" fillId="0" borderId="1" xfId="1" applyBorder="1" applyAlignment="1">
      <alignment wrapText="1"/>
    </xf>
    <xf numFmtId="0" fontId="12" fillId="4" borderId="1" xfId="0" applyFont="1" applyFill="1" applyBorder="1"/>
    <xf numFmtId="3" fontId="12" fillId="4" borderId="1" xfId="0" applyNumberFormat="1" applyFont="1" applyFill="1" applyBorder="1"/>
    <xf numFmtId="0" fontId="0" fillId="0" borderId="1" xfId="0" applyBorder="1"/>
    <xf numFmtId="164" fontId="0" fillId="0" borderId="1" xfId="2" applyNumberFormat="1" applyFont="1" applyBorder="1" applyAlignment="1">
      <alignment horizontal="right"/>
    </xf>
    <xf numFmtId="0" fontId="0" fillId="0" borderId="2" xfId="0" applyBorder="1"/>
    <xf numFmtId="164" fontId="0" fillId="0" borderId="0" xfId="2" applyNumberFormat="1" applyFont="1"/>
    <xf numFmtId="0" fontId="0" fillId="0" borderId="1" xfId="0" applyBorder="1" applyAlignment="1">
      <alignment horizontal="left" indent="2"/>
    </xf>
    <xf numFmtId="0" fontId="1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7" fillId="0" borderId="1" xfId="0" applyFont="1" applyBorder="1" applyAlignment="1">
      <alignment wrapText="1"/>
    </xf>
    <xf numFmtId="0" fontId="0" fillId="0" borderId="7" xfId="0" applyBorder="1"/>
    <xf numFmtId="4" fontId="0" fillId="0" borderId="1" xfId="0" applyNumberFormat="1" applyBorder="1"/>
    <xf numFmtId="4" fontId="0" fillId="0" borderId="0" xfId="0" applyNumberFormat="1"/>
    <xf numFmtId="2" fontId="0" fillId="0" borderId="1" xfId="0" applyNumberFormat="1" applyBorder="1"/>
    <xf numFmtId="2" fontId="11" fillId="2" borderId="1" xfId="0" applyNumberFormat="1" applyFont="1" applyFill="1" applyBorder="1" applyAlignment="1">
      <alignment wrapText="1"/>
    </xf>
    <xf numFmtId="2" fontId="0" fillId="0" borderId="0" xfId="0" applyNumberFormat="1"/>
    <xf numFmtId="4" fontId="0" fillId="0" borderId="8" xfId="0" applyNumberFormat="1" applyBorder="1"/>
    <xf numFmtId="3" fontId="0" fillId="0" borderId="1" xfId="0" applyNumberFormat="1" applyBorder="1"/>
    <xf numFmtId="3" fontId="0" fillId="0" borderId="8" xfId="0" applyNumberFormat="1" applyBorder="1"/>
    <xf numFmtId="3" fontId="0" fillId="0" borderId="0" xfId="0" applyNumberFormat="1"/>
    <xf numFmtId="164" fontId="12" fillId="0" borderId="1" xfId="2" applyNumberFormat="1" applyFont="1" applyBorder="1" applyAlignment="1">
      <alignment horizontal="right"/>
    </xf>
    <xf numFmtId="164" fontId="12" fillId="0" borderId="0" xfId="0" applyNumberFormat="1" applyFont="1"/>
    <xf numFmtId="0" fontId="19" fillId="0" borderId="1" xfId="0" applyFont="1" applyBorder="1" applyAlignment="1">
      <alignment horizontal="center"/>
    </xf>
    <xf numFmtId="164" fontId="19" fillId="0" borderId="1" xfId="2" applyNumberFormat="1" applyFont="1" applyBorder="1" applyAlignment="1">
      <alignment horizontal="right"/>
    </xf>
    <xf numFmtId="0" fontId="14" fillId="0" borderId="1" xfId="0" applyFont="1" applyBorder="1" applyAlignment="1">
      <alignment vertical="center" wrapText="1"/>
    </xf>
    <xf numFmtId="17" fontId="14" fillId="0" borderId="1" xfId="2" applyNumberFormat="1" applyFont="1" applyBorder="1" applyAlignment="1">
      <alignment vertical="center" wrapText="1"/>
    </xf>
    <xf numFmtId="164" fontId="0" fillId="0" borderId="7" xfId="2" applyNumberFormat="1" applyFont="1" applyBorder="1" applyAlignment="1">
      <alignment horizontal="right"/>
    </xf>
    <xf numFmtId="0" fontId="0" fillId="0" borderId="8" xfId="0" applyBorder="1"/>
    <xf numFmtId="164" fontId="0" fillId="0" borderId="8" xfId="2" applyNumberFormat="1" applyFont="1" applyBorder="1" applyAlignment="1">
      <alignment horizontal="right"/>
    </xf>
    <xf numFmtId="164" fontId="0" fillId="0" borderId="2" xfId="2" applyNumberFormat="1" applyFont="1" applyBorder="1" applyAlignment="1">
      <alignment horizontal="right"/>
    </xf>
    <xf numFmtId="164" fontId="15" fillId="0" borderId="1" xfId="0" applyNumberFormat="1" applyFont="1" applyBorder="1" applyAlignment="1">
      <alignment horizontal="right"/>
    </xf>
    <xf numFmtId="164" fontId="14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/>
    <xf numFmtId="164" fontId="12" fillId="0" borderId="1" xfId="2" applyNumberFormat="1" applyFont="1" applyFill="1" applyBorder="1" applyAlignment="1">
      <alignment horizontal="right"/>
    </xf>
    <xf numFmtId="0" fontId="13" fillId="7" borderId="1" xfId="0" applyFont="1" applyFill="1" applyBorder="1"/>
    <xf numFmtId="164" fontId="12" fillId="7" borderId="1" xfId="2" applyNumberFormat="1" applyFont="1" applyFill="1" applyBorder="1" applyAlignment="1">
      <alignment horizontal="right"/>
    </xf>
    <xf numFmtId="164" fontId="12" fillId="7" borderId="0" xfId="0" applyNumberFormat="1" applyFont="1" applyFill="1"/>
    <xf numFmtId="10" fontId="0" fillId="0" borderId="0" xfId="0" applyNumberFormat="1" applyAlignment="1">
      <alignment horizontal="center" vertical="center"/>
    </xf>
    <xf numFmtId="10" fontId="1" fillId="7" borderId="0" xfId="3" applyNumberFormat="1" applyFont="1" applyFill="1"/>
    <xf numFmtId="9" fontId="0" fillId="0" borderId="0" xfId="3" applyFont="1"/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18" fillId="6" borderId="3" xfId="0" applyNumberFormat="1" applyFont="1" applyFill="1" applyBorder="1" applyAlignment="1">
      <alignment horizontal="center"/>
    </xf>
    <xf numFmtId="3" fontId="18" fillId="6" borderId="4" xfId="0" applyNumberFormat="1" applyFont="1" applyFill="1" applyBorder="1" applyAlignment="1">
      <alignment horizontal="center"/>
    </xf>
    <xf numFmtId="3" fontId="18" fillId="6" borderId="5" xfId="0" applyNumberFormat="1" applyFont="1" applyFill="1" applyBorder="1" applyAlignment="1">
      <alignment horizontal="center"/>
    </xf>
    <xf numFmtId="3" fontId="18" fillId="6" borderId="1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4" fontId="18" fillId="6" borderId="0" xfId="0" applyNumberFormat="1" applyFont="1" applyFill="1" applyAlignment="1">
      <alignment horizontal="center"/>
    </xf>
    <xf numFmtId="4" fontId="18" fillId="6" borderId="6" xfId="0" applyNumberFormat="1" applyFont="1" applyFill="1" applyBorder="1" applyAlignment="1">
      <alignment horizontal="center"/>
    </xf>
    <xf numFmtId="4" fontId="18" fillId="6" borderId="1" xfId="0" applyNumberFormat="1" applyFont="1" applyFill="1" applyBorder="1" applyAlignment="1">
      <alignment horizontal="center"/>
    </xf>
  </cellXfs>
  <cellStyles count="161">
    <cellStyle name="Comma" xfId="2" builtinId="3"/>
    <cellStyle name="Comma 10 5" xfId="15" xr:uid="{537EED21-785E-48F4-A453-1417CCF62D6D}"/>
    <cellStyle name="Comma 11" xfId="51" xr:uid="{A31B6CD8-098C-4A8D-8D4E-4D6DF514FDB7}"/>
    <cellStyle name="Comma 11 2" xfId="37" xr:uid="{F20C9BD4-9108-41EE-8675-96B5BAD1C232}"/>
    <cellStyle name="Comma 11 2 2" xfId="48" xr:uid="{29C2E009-9348-41D2-906A-80BAA755F5E3}"/>
    <cellStyle name="Comma 11 2 2 2" xfId="87" xr:uid="{43E3D367-1B68-42CF-A122-877B892DEDC1}"/>
    <cellStyle name="Comma 11 2 2 2 2" xfId="135" xr:uid="{CD598459-E8C2-48C1-81EC-1626A7E42F78}"/>
    <cellStyle name="Comma 11 2 2 3" xfId="116" xr:uid="{C6344C82-5399-4A62-813C-AE1475596AF4}"/>
    <cellStyle name="Comma 11 2 2 4" xfId="159" xr:uid="{C40613B8-321C-4FA5-9B78-6108E58DD1EF}"/>
    <cellStyle name="Comma 11 3" xfId="88" xr:uid="{E34554EA-8758-4D0B-8A8C-3EA7465D2ED9}"/>
    <cellStyle name="Comma 11 3 2" xfId="136" xr:uid="{0AE7A2A9-9C83-48EE-A842-419C942CD49C}"/>
    <cellStyle name="Comma 16" xfId="34" xr:uid="{3BB6F001-AB4A-41BE-9456-2575FDD00CE6}"/>
    <cellStyle name="Comma 16 2" xfId="35" xr:uid="{84E25A26-7A84-44C7-A017-7155694C7D68}"/>
    <cellStyle name="Comma 16 2 2" xfId="46" xr:uid="{089FCBAE-18B9-4A77-9A2B-C1A7EBE51AF0}"/>
    <cellStyle name="Comma 16 2 2 2" xfId="85" xr:uid="{8611FB07-4F75-473B-AA2A-53CA6D942311}"/>
    <cellStyle name="Comma 16 2 2 2 2" xfId="133" xr:uid="{58A9C270-AC5A-42D2-A77D-89C9BE452ABE}"/>
    <cellStyle name="Comma 16 2 2 3" xfId="114" xr:uid="{A8FC6553-25D0-4F51-ABF1-68BDD763BB27}"/>
    <cellStyle name="Comma 16 2 2 4" xfId="157" xr:uid="{48D7AF6B-58CB-443F-AF71-0710C37A32AC}"/>
    <cellStyle name="Comma 16 2 3" xfId="75" xr:uid="{F78AD7E1-3B0D-433C-A2FE-16CD0D8A8231}"/>
    <cellStyle name="Comma 16 2 3 2" xfId="123" xr:uid="{15DB3374-A3DD-4CDA-94E4-132F121149F2}"/>
    <cellStyle name="Comma 16 2 4" xfId="104" xr:uid="{2B68ADBA-A87B-481A-9CEA-428E930BE047}"/>
    <cellStyle name="Comma 16 2 5" xfId="147" xr:uid="{8E9B7468-B5A8-4161-B740-95C4865613EF}"/>
    <cellStyle name="Comma 18" xfId="31" xr:uid="{9F0FC8BC-8564-4132-86A4-B36262DF0F16}"/>
    <cellStyle name="Comma 18 2" xfId="44" xr:uid="{D3C082DF-F3F8-4995-95C7-D925650AE727}"/>
    <cellStyle name="Comma 18 2 2" xfId="83" xr:uid="{0571FCA3-FEF5-45EA-A0D5-A7D3E9B50443}"/>
    <cellStyle name="Comma 18 2 2 2" xfId="131" xr:uid="{D5FC903C-BCB9-4805-8131-607707BB8429}"/>
    <cellStyle name="Comma 18 2 3" xfId="112" xr:uid="{E47D70A3-FC1B-4DFF-8A78-7E65E5A187B6}"/>
    <cellStyle name="Comma 18 2 4" xfId="155" xr:uid="{50F61DD9-2DC6-49BA-900C-CE9884AC794D}"/>
    <cellStyle name="Comma 2" xfId="13" xr:uid="{064132C6-7F51-4AB9-BE1A-4DAB2D3FB190}"/>
    <cellStyle name="Comma 2 124" xfId="9" xr:uid="{64786204-5589-4823-8656-91D9528FDB57}"/>
    <cellStyle name="Comma 2 124 2" xfId="30" xr:uid="{17B3FE0C-7FF9-4805-AD0E-381E05BC9625}"/>
    <cellStyle name="Comma 2 124 2 2" xfId="43" xr:uid="{78F63F88-54DA-4C16-B366-693F64562942}"/>
    <cellStyle name="Comma 2 124 2 2 2" xfId="82" xr:uid="{DA3626FE-50F5-49A1-971A-1814D9327975}"/>
    <cellStyle name="Comma 2 124 2 2 2 2" xfId="130" xr:uid="{42CA2010-633B-4045-A5EB-B3343552AC57}"/>
    <cellStyle name="Comma 2 124 2 2 3" xfId="111" xr:uid="{D92C6B5D-0A01-4212-8757-298474C850E3}"/>
    <cellStyle name="Comma 2 124 2 2 4" xfId="154" xr:uid="{1C2B5B05-E0B7-4FE2-88A2-97DD58F9A6B4}"/>
    <cellStyle name="Comma 2 124 3" xfId="39" xr:uid="{6256C3D4-2DD5-4D6E-9F58-07812ECB16BD}"/>
    <cellStyle name="Comma 2 124 3 2" xfId="78" xr:uid="{F3BB825C-6D11-4B87-A44B-62BA19F380E0}"/>
    <cellStyle name="Comma 2 124 3 2 2" xfId="126" xr:uid="{B6A6EE4B-0FB1-45BC-965E-EB6F14934848}"/>
    <cellStyle name="Comma 2 124 3 3" xfId="107" xr:uid="{8CA4F740-E7BC-4E8B-A2CE-35B56BCD3BA3}"/>
    <cellStyle name="Comma 2 124 3 4" xfId="150" xr:uid="{26FE58FF-0F1E-4000-AA28-679C2E6FEA0D}"/>
    <cellStyle name="Comma 2 124 4" xfId="71" xr:uid="{23D6D3E3-756B-411F-A838-4DA4F653BD4B}"/>
    <cellStyle name="Comma 2 124 4 2" xfId="119" xr:uid="{35C809CB-9CB0-441C-93E7-6C749A939CB2}"/>
    <cellStyle name="Comma 2 124 5" xfId="91" xr:uid="{F164CB7A-6725-4731-8A3C-EC0E3E3CF78D}"/>
    <cellStyle name="Comma 2 124 5 2" xfId="139" xr:uid="{67CAC063-4418-4164-AED7-B46D5872B30E}"/>
    <cellStyle name="Comma 2 124 6" xfId="100" xr:uid="{C032BB7F-43F7-4437-8C2A-0A69254DD541}"/>
    <cellStyle name="Comma 2 124 7" xfId="143" xr:uid="{62411E45-DFE2-4D90-B337-ACF7491272B9}"/>
    <cellStyle name="Comma 2 2" xfId="40" xr:uid="{EADB5E90-601C-49F5-B92F-4A7C947FC579}"/>
    <cellStyle name="Comma 2 2 2" xfId="79" xr:uid="{B2F49564-4731-4872-AB5E-C52570B1575E}"/>
    <cellStyle name="Comma 2 2 2 2" xfId="127" xr:uid="{7AD7E2F7-9435-4579-889D-0A39C1BB4B69}"/>
    <cellStyle name="Comma 2 2 3" xfId="108" xr:uid="{951FDBEA-FE9C-4DCF-B711-B44758830604}"/>
    <cellStyle name="Comma 2 2 4" xfId="151" xr:uid="{C17CB5E4-DF95-42FA-A867-C18D0C2DD0CA}"/>
    <cellStyle name="Comma 2 23" xfId="66" xr:uid="{F04B9EFA-7461-4E87-A66D-8091B70FAF71}"/>
    <cellStyle name="Comma 2 23 2" xfId="89" xr:uid="{F77E071E-06CF-4172-8DAB-B78E8B47D4C4}"/>
    <cellStyle name="Comma 2 23 2 2" xfId="137" xr:uid="{37149BEB-AFF8-4258-A8E2-450632BFA75D}"/>
    <cellStyle name="Comma 2 23 3" xfId="117" xr:uid="{564FEDFE-317A-4DB6-9F0A-956DB3C549E0}"/>
    <cellStyle name="Comma 2 23 4" xfId="160" xr:uid="{46B03A70-68CF-40D8-9CCC-FE2C093BB8F8}"/>
    <cellStyle name="Comma 2 3" xfId="72" xr:uid="{DFC178DF-C051-4A20-B982-407E9F3B7CC9}"/>
    <cellStyle name="Comma 2 3 2" xfId="120" xr:uid="{FDABBEE9-F064-4E1D-80F6-095536C74EDB}"/>
    <cellStyle name="Comma 2 3 86" xfId="28" xr:uid="{3AF9A75C-75CB-48E1-AA71-0EC6F5B8988C}"/>
    <cellStyle name="Comma 2 3 86 2" xfId="42" xr:uid="{CCEFECBB-8FB2-435E-9D49-E4C0AD3750D0}"/>
    <cellStyle name="Comma 2 3 86 2 2" xfId="81" xr:uid="{662760A2-8840-428C-9DEE-8CC1C13DD5C1}"/>
    <cellStyle name="Comma 2 3 86 2 2 2" xfId="129" xr:uid="{1798DB64-9119-491B-93C0-1B7CC72BBA95}"/>
    <cellStyle name="Comma 2 3 86 2 3" xfId="110" xr:uid="{BE5737ED-1C8F-4BFE-BACA-95A90F07C9B3}"/>
    <cellStyle name="Comma 2 3 86 2 4" xfId="153" xr:uid="{A8B4DB56-5D88-48F4-A725-EFA121AF767F}"/>
    <cellStyle name="Comma 2 3 86 3" xfId="73" xr:uid="{48C3402D-1FD9-43B4-BA66-A25B298830DC}"/>
    <cellStyle name="Comma 2 3 86 3 2" xfId="121" xr:uid="{D53BB33F-3E4F-4987-B3A4-8B996E8D7B1D}"/>
    <cellStyle name="Comma 2 3 86 4" xfId="92" xr:uid="{0B9D11F1-E732-4623-9F76-532484870359}"/>
    <cellStyle name="Comma 2 3 86 4 2" xfId="140" xr:uid="{36DC30E5-11A8-4758-BCD0-F67E4B662252}"/>
    <cellStyle name="Comma 2 3 86 5" xfId="102" xr:uid="{7944D2C0-14C6-4EEB-95E2-6EE4BEBDBA59}"/>
    <cellStyle name="Comma 2 3 86 6" xfId="145" xr:uid="{1A31E24E-71FC-49B1-A698-F6A3646813C1}"/>
    <cellStyle name="Comma 2 4" xfId="32" xr:uid="{648DA2B4-8C53-4BDC-B856-0DDB7E9FDFAF}"/>
    <cellStyle name="Comma 2 4 2" xfId="45" xr:uid="{E41B8BD3-F484-4773-9016-EB472FE4EC8E}"/>
    <cellStyle name="Comma 2 4 2 2" xfId="84" xr:uid="{07691099-E193-43CA-93B7-E021834BC634}"/>
    <cellStyle name="Comma 2 4 2 2 2" xfId="132" xr:uid="{399BEA0B-E675-4841-80EC-1AD637B0B7DE}"/>
    <cellStyle name="Comma 2 4 2 3" xfId="113" xr:uid="{8458DAFC-C20A-40EC-A585-D439FB2FDEE4}"/>
    <cellStyle name="Comma 2 4 2 4" xfId="156" xr:uid="{E2282300-8620-4438-B48D-5E5DFFC76879}"/>
    <cellStyle name="Comma 2 4 3" xfId="74" xr:uid="{9481746F-0497-4D32-8299-82C8CF011BDB}"/>
    <cellStyle name="Comma 2 4 3 2" xfId="122" xr:uid="{060A549F-E95A-431E-89D5-5C928CD406DD}"/>
    <cellStyle name="Comma 2 4 4" xfId="103" xr:uid="{55D9565A-7FA2-4640-BC0A-B524E8F3E7D6}"/>
    <cellStyle name="Comma 2 4 5" xfId="146" xr:uid="{AC107205-2D86-43E3-BAFB-8E3B8519B3CD}"/>
    <cellStyle name="Comma 2 5" xfId="95" xr:uid="{61AE64AC-3382-459C-B4BF-E97D2D357496}"/>
    <cellStyle name="Comma 2 5 2" xfId="141" xr:uid="{AFCF69F3-906C-4C2A-8564-8A15D62696D7}"/>
    <cellStyle name="Comma 2 6" xfId="101" xr:uid="{644C97D0-BDE8-4761-BA76-CE29A21B2F92}"/>
    <cellStyle name="Comma 2 7" xfId="144" xr:uid="{04D69332-3041-4FCD-BBD2-63E08B8EAFA9}"/>
    <cellStyle name="Comma 3" xfId="27" xr:uid="{E4C9941C-0CD0-45EF-A259-59107238CD72}"/>
    <cellStyle name="Comma 3 101" xfId="29" xr:uid="{EA4CA99E-33ED-49CD-B203-87676805FE3C}"/>
    <cellStyle name="Comma 3 2" xfId="36" xr:uid="{FC1C944F-9202-4D80-AE59-D3F28E84A377}"/>
    <cellStyle name="Comma 3 2 2" xfId="47" xr:uid="{277C15A0-C977-485F-9AB3-8311178BF374}"/>
    <cellStyle name="Comma 3 2 2 2" xfId="86" xr:uid="{D4845D5F-6297-493B-B05C-6BCE07328707}"/>
    <cellStyle name="Comma 3 2 2 2 2" xfId="134" xr:uid="{3FDE99CE-65EA-453D-9DD3-07D5CEF96B57}"/>
    <cellStyle name="Comma 3 2 2 3" xfId="115" xr:uid="{ADDD04E5-E4A2-40B0-A594-138BC416604A}"/>
    <cellStyle name="Comma 3 2 2 4" xfId="158" xr:uid="{ADA09DD1-F2BF-46F0-89EF-7824B8843F2A}"/>
    <cellStyle name="Comma 3 2 3" xfId="76" xr:uid="{EA742C47-B3E3-4E05-A997-C506A8FD5102}"/>
    <cellStyle name="Comma 3 2 3 2" xfId="124" xr:uid="{269718BE-9170-41B2-ACFD-99DB7837DC95}"/>
    <cellStyle name="Comma 3 2 4" xfId="105" xr:uid="{41F635D8-31B4-4A2F-894C-E031726BFFC4}"/>
    <cellStyle name="Comma 3 2 5" xfId="148" xr:uid="{C636A7AE-008F-4350-A7FF-97DE56A70EE8}"/>
    <cellStyle name="Comma 4" xfId="38" xr:uid="{05454AC6-6801-4F0C-9FEB-2DF6D0979FA2}"/>
    <cellStyle name="Comma 4 2" xfId="77" xr:uid="{CE1F6295-E2AA-4FE7-93BF-558DD03C01D2}"/>
    <cellStyle name="Comma 4 2 2" xfId="125" xr:uid="{298C7645-105C-4E56-BCE9-D4E1E472CC27}"/>
    <cellStyle name="Comma 4 3" xfId="106" xr:uid="{CF6B41FD-6660-4033-8E9D-2C45BEA4FDEC}"/>
    <cellStyle name="Comma 4 4" xfId="149" xr:uid="{8FCE676C-2954-4537-A465-C51FFD07CA07}"/>
    <cellStyle name="Comma 5" xfId="4" xr:uid="{0FF77BC8-5F93-44FF-9DF2-ED29A8389E94}"/>
    <cellStyle name="Comma 5 2" xfId="118" xr:uid="{5E6E334B-F590-4229-99D8-B81048CC8672}"/>
    <cellStyle name="Comma 6" xfId="90" xr:uid="{FEC03F2E-D318-4E67-9DA6-716CDE8E19BB}"/>
    <cellStyle name="Comma 6 2" xfId="138" xr:uid="{46BB6A9A-1992-46E8-B905-32213DFBF65D}"/>
    <cellStyle name="Comma 7" xfId="19" xr:uid="{2248B947-E9E6-458E-BF41-5284F122B1E0}"/>
    <cellStyle name="Comma 7 2" xfId="41" xr:uid="{27A8B926-00AA-4716-9CCF-30BF098A7253}"/>
    <cellStyle name="Comma 7 2 2" xfId="80" xr:uid="{348DC553-2DF6-4EF0-9273-FD173960B295}"/>
    <cellStyle name="Comma 7 2 2 2" xfId="128" xr:uid="{146C9A76-3ABB-4FE1-AD37-DD0FFEC7B54F}"/>
    <cellStyle name="Comma 7 2 3" xfId="109" xr:uid="{9B4B107C-EC01-4669-997B-9F2A81429B1E}"/>
    <cellStyle name="Comma 7 2 4" xfId="152" xr:uid="{9FF2F0B4-7B2F-4039-9F35-03DCC0ED245C}"/>
    <cellStyle name="Comma 8" xfId="99" xr:uid="{05A2EC26-EF02-4F86-B073-404B8641F454}"/>
    <cellStyle name="Comma 9" xfId="142" xr:uid="{DA66A303-E542-4D22-9E64-FAF6256258B8}"/>
    <cellStyle name="Hyperlink" xfId="1" builtinId="8"/>
    <cellStyle name="Indian Comma" xfId="25" xr:uid="{6EC22827-C830-4F05-B830-B1D9CA67E242}"/>
    <cellStyle name="Normal" xfId="0" builtinId="0"/>
    <cellStyle name="Normal 11" xfId="6" xr:uid="{F31ABC73-42EE-4638-9971-D6949BCE9578}"/>
    <cellStyle name="Normal 11 10" xfId="67" xr:uid="{24B98D90-55A1-4981-9D9F-01FBA3D82820}"/>
    <cellStyle name="Normal 11 2" xfId="18" xr:uid="{CB8938FC-C044-46E5-8003-29BDF943966E}"/>
    <cellStyle name="Normal 12 3 3" xfId="10" xr:uid="{53D518DD-045D-4FF4-BAA1-72547D0569BA}"/>
    <cellStyle name="Normal 12 3 3 2" xfId="22" xr:uid="{F464F869-A65A-4A35-A965-18DDA2777D1F}"/>
    <cellStyle name="Normal 13 27" xfId="70" xr:uid="{25012AC4-EF24-4DF2-812B-1E329EFE0C98}"/>
    <cellStyle name="Normal 19" xfId="93" xr:uid="{2265ECB3-7233-4BA0-AC21-B528446ADD66}"/>
    <cellStyle name="Normal 2" xfId="14" xr:uid="{7EB04B4A-2A7C-46C0-A92A-12D679CECD9C}"/>
    <cellStyle name="Normal 2 10" xfId="50" xr:uid="{AF3D4113-78A4-4093-A4DB-659D8F24D579}"/>
    <cellStyle name="Normal 2 134" xfId="21" xr:uid="{8E22E860-4DF6-4639-AE9F-4A1FE1BFF460}"/>
    <cellStyle name="Normal 2 134 10" xfId="62" xr:uid="{61FA6668-64FC-49FB-BC20-E1E7F4DFBDD2}"/>
    <cellStyle name="Normal 2 134 2" xfId="53" xr:uid="{B866D7BF-B29F-4393-8D51-619FDFFAACFC}"/>
    <cellStyle name="Normal 2 134 3" xfId="56" xr:uid="{E2822692-0484-4C6C-86F9-48272344B3F8}"/>
    <cellStyle name="Normal 2 134 4" xfId="52" xr:uid="{05BB5114-0D0D-463A-9A6F-A7F970487DA4}"/>
    <cellStyle name="Normal 2 134 5" xfId="57" xr:uid="{2DC393DE-3ACC-4266-A5DC-4989FF1462BB}"/>
    <cellStyle name="Normal 2 134 6" xfId="58" xr:uid="{6D0C37B3-B74A-4B6F-9749-FAC9F5A8FAB0}"/>
    <cellStyle name="Normal 2 134 7" xfId="59" xr:uid="{7A804CBF-919F-4E2A-B4B6-EE1C53F44848}"/>
    <cellStyle name="Normal 2 134 8" xfId="60" xr:uid="{E24E599D-5370-4A10-A713-00C178232470}"/>
    <cellStyle name="Normal 2 134 9" xfId="61" xr:uid="{E2BB9910-FEDE-49D5-8E14-100E1D8A4F6B}"/>
    <cellStyle name="Normal 2 16 2" xfId="65" xr:uid="{81F03988-7E61-4658-B767-9464FBF61B98}"/>
    <cellStyle name="Normal 2 17" xfId="64" xr:uid="{A5D30139-E6DB-41BB-97D5-85A116A0BC8D}"/>
    <cellStyle name="Normal 2 18 2" xfId="11" xr:uid="{126ED360-E731-46F7-841E-ECC7C1747E85}"/>
    <cellStyle name="Normal 2 2" xfId="8" xr:uid="{F9019EDB-46E4-4671-A6BB-B723CBA615DB}"/>
    <cellStyle name="Normal 2 2 2" xfId="69" xr:uid="{E89ECF5E-7E0F-4273-990A-7758B838F394}"/>
    <cellStyle name="Normal 21" xfId="94" xr:uid="{C6D8FF1E-DEA3-4392-A535-DB915D6CAD8A}"/>
    <cellStyle name="Normal 22" xfId="98" xr:uid="{B716340B-B37E-4498-A32C-A79A558FE1BD}"/>
    <cellStyle name="Normal 23 2" xfId="20" xr:uid="{2DC6C139-D448-4E35-A066-CC6941C9CD9D}"/>
    <cellStyle name="Normal 3" xfId="16" xr:uid="{9BA490A0-B0B1-4C89-B7AD-1DBCCF45DC51}"/>
    <cellStyle name="Normal 3 144" xfId="26" xr:uid="{2D92AB9E-1DC4-4FDE-BB6E-7E251930247F}"/>
    <cellStyle name="Normal 3 2" xfId="96" xr:uid="{41EEF658-1E65-4281-88CB-8E867E118850}"/>
    <cellStyle name="Normal 30" xfId="49" xr:uid="{C7FA03A4-1758-4903-97DE-C5763BDF586A}"/>
    <cellStyle name="Normal 34 2" xfId="17" xr:uid="{25CF6134-B793-4993-AC07-68B65103B6F2}"/>
    <cellStyle name="Normal 4" xfId="7" xr:uid="{D91F91F2-23A9-43FD-90E3-B4898AF7D5DF}"/>
    <cellStyle name="Normal 4 2" xfId="68" xr:uid="{89710D56-657C-483A-B975-09152C68C20A}"/>
    <cellStyle name="Normal 41" xfId="5" xr:uid="{FA6F5168-8A4E-4F01-B754-22E3D42A94E6}"/>
    <cellStyle name="Normal 5 10" xfId="24" xr:uid="{3C47F97D-7E4C-43E6-98F5-98BEFA4D8904}"/>
    <cellStyle name="Normal 5 10 2" xfId="55" xr:uid="{9A2EC694-51CD-4D05-AD30-AE2865195CA7}"/>
    <cellStyle name="Normal 7" xfId="33" xr:uid="{59158024-17B2-46BD-9E55-4AD3D5D38A3D}"/>
    <cellStyle name="Normal 8" xfId="23" xr:uid="{F4126C61-FED6-49B3-AEC8-AC3DF1446E4A}"/>
    <cellStyle name="Normal 8 2" xfId="54" xr:uid="{6F726836-9D2B-46ED-9CE7-942FA4B5925F}"/>
    <cellStyle name="Percent" xfId="3" builtinId="5"/>
    <cellStyle name="Percent 2" xfId="12" xr:uid="{2A704D84-5795-4337-AFA5-F18DA127CDB5}"/>
    <cellStyle name="Percent 2 2" xfId="97" xr:uid="{9340C1C6-4057-49CC-ABF8-F6E1DE6035FE}"/>
    <cellStyle name="Percent 3" xfId="63" xr:uid="{20E1B733-0338-420A-B441-F1BECD32185B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3E8657BA-821D-4A45-9A69-A2EE1D046915}">
    <Anchor>
      <Comment id="{2FDD5EC1-B50C-4426-BD2A-07F40FC52522}"/>
    </Anchor>
    <History>
      <Event time="2026-09-02T06:43:22.26" id="{E5B28530-A471-40C5-B31D-29454C3E9F4B}">
        <Attribution userId="S::prabal.selwadiya@bajajbroking.in::ba547732-48f4-4194-8b68-ec3df1128f3a" userName="Prabal Selwadiya" userProvider="AD"/>
        <Anchor>
          <Comment id="{2FDD5EC1-B50C-4426-BD2A-07F40FC52522}"/>
        </Anchor>
        <Create/>
      </Event>
      <Event time="2026-09-02T06:43:22.26" id="{0E596ED0-AD3B-416B-AA14-F8E739FB61E6}">
        <Attribution userId="S::prabal.selwadiya@bajajbroking.in::ba547732-48f4-4194-8b68-ec3df1128f3a" userName="Prabal Selwadiya" userProvider="AD"/>
        <Anchor>
          <Comment id="{2FDD5EC1-B50C-4426-BD2A-07F40FC52522}"/>
        </Anchor>
        <Assign userId="S::siddhant.sawant@bajajbroking.in::705fb5c3-f8e0-4b2a-9b15-78f09f936f1f" userName="Siddhant Sawant" userProvider="AD"/>
      </Event>
      <Event time="2026-09-02T06:43:22.26" id="{E1BF368D-DD7B-492C-9BAE-DC95522C00EE}">
        <Attribution userId="S::prabal.selwadiya@bajajbroking.in::ba547732-48f4-4194-8b68-ec3df1128f3a" userName="Prabal Selwadiya" userProvider="AD"/>
        <Anchor>
          <Comment id="{2FDD5EC1-B50C-4426-BD2A-07F40FC52522}"/>
        </Anchor>
        <SetTitle title="@Siddhant Sawant add july data"/>
      </Event>
      <Event time="2026-09-02T08:01:42.30" id="{41DCD0C7-AC5E-43D2-818E-CC0598F27B7E}">
        <Attribution userId="S::siddhant.sawant@bajajbroking.in::705fb5c3-f8e0-4b2a-9b15-78f09f936f1f" userName="Siddhant Sawant" userProvider="AD"/>
        <Progress percentComplete="100"/>
      </Event>
      <Event time="2026-09-02T08:01:42.30" id="{4CA3F89E-76D9-4011-86D7-3FDD36DADD73}">
        <Attribution userId="S::siddhant.sawant@bajajbroking.in::705fb5c3-f8e0-4b2a-9b15-78f09f936f1f" userName="Siddhant Sawant" userProvider="AD"/>
        <Undo id="{41DCD0C7-AC5E-43D2-818E-CC0598F27B7E}"/>
      </Event>
      <Event time="2026-09-08T09:43:55.03" id="{EE5252CF-FAE5-4BD9-9B90-28B675A454F1}">
        <Attribution userId="S::siddhant.sawant@bajajbroking.in::705fb5c3-f8e0-4b2a-9b15-78f09f936f1f" userName="Siddhant Sawant" userProvider="AD"/>
        <Progress percentComplete="100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ddhantsawant\Downloads\isc_report1C_2627%20(1).xls" TargetMode="External"/><Relationship Id="rId1" Type="http://schemas.openxmlformats.org/officeDocument/2006/relationships/externalLinkPath" Target="file:///C:\Users\siddhantsawant\Downloads\isc_report1C_262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c_report1C_2627_310826"/>
      <sheetName val="Sheet1"/>
    </sheetNames>
    <sheetDataSet>
      <sheetData sheetId="0"/>
      <sheetData sheetId="1">
        <row r="1">
          <cell r="A1" t="str">
            <v>NAME OF THE TM (as per SCORES)</v>
          </cell>
          <cell r="B1" t="str">
            <v>NO. OF ACTIVE CLIENTS</v>
          </cell>
        </row>
        <row r="4">
          <cell r="A4" t="str">
            <v>Groww Invest Tech Private Limited</v>
          </cell>
          <cell r="B4">
            <v>13347233</v>
          </cell>
        </row>
        <row r="5">
          <cell r="A5" t="str">
            <v>Angel One Limited</v>
          </cell>
          <cell r="B5">
            <v>6718755</v>
          </cell>
        </row>
        <row r="6">
          <cell r="A6" t="str">
            <v>Upstox Securities Private Limited</v>
          </cell>
          <cell r="B6">
            <v>1864628</v>
          </cell>
        </row>
        <row r="7">
          <cell r="A7" t="str">
            <v>Motilal Oswal Financial Services Limited</v>
          </cell>
          <cell r="B7">
            <v>906005</v>
          </cell>
        </row>
        <row r="8">
          <cell r="A8" t="str">
            <v>Icici Securities Limited</v>
          </cell>
          <cell r="B8">
            <v>2156209</v>
          </cell>
        </row>
        <row r="9">
          <cell r="A9" t="str">
            <v>Zerodha Broking Limited</v>
          </cell>
          <cell r="B9">
            <v>6796854</v>
          </cell>
        </row>
        <row r="10">
          <cell r="A10" t="str">
            <v>Kotak Securities Ltd.</v>
          </cell>
          <cell r="B10">
            <v>1391663</v>
          </cell>
        </row>
        <row r="11">
          <cell r="A11" t="str">
            <v>Hdfc Securities Ltd.</v>
          </cell>
          <cell r="B11">
            <v>1351311</v>
          </cell>
        </row>
        <row r="12">
          <cell r="A12" t="str">
            <v>Iifl Capital Services Ltd.</v>
          </cell>
          <cell r="B12">
            <v>338771</v>
          </cell>
        </row>
        <row r="13">
          <cell r="A13" t="str">
            <v>Mirae Asset Capital Markets ( India ) Private Limited</v>
          </cell>
          <cell r="B13">
            <v>191277</v>
          </cell>
        </row>
        <row r="14">
          <cell r="A14" t="str">
            <v>Sbicap Securities Limited</v>
          </cell>
          <cell r="B14">
            <v>1043820</v>
          </cell>
        </row>
        <row r="15">
          <cell r="A15" t="str">
            <v>Choice Equity Broking Private Limited</v>
          </cell>
          <cell r="B15">
            <v>235325</v>
          </cell>
        </row>
        <row r="16">
          <cell r="A16" t="str">
            <v>Sharekhan Ltd.</v>
          </cell>
          <cell r="B16">
            <v>527565</v>
          </cell>
        </row>
        <row r="17">
          <cell r="A17" t="str">
            <v>Raise Securities Private Limited (dhan App)( formerly Known As Moneylicious Securities Private Limited)</v>
          </cell>
          <cell r="B17">
            <v>1107277</v>
          </cell>
        </row>
        <row r="18">
          <cell r="A18" t="str">
            <v>Axis Securities Limited</v>
          </cell>
          <cell r="B18">
            <v>429479</v>
          </cell>
        </row>
        <row r="19">
          <cell r="A19" t="str">
            <v>Jainam Broking Limited</v>
          </cell>
          <cell r="B19">
            <v>150445</v>
          </cell>
        </row>
        <row r="20">
          <cell r="A20" t="str">
            <v>Tradebulls Securities (p) Ltd.</v>
          </cell>
          <cell r="B20">
            <v>77966</v>
          </cell>
        </row>
        <row r="21">
          <cell r="A21" t="str">
            <v>Anand Rathi Share And Stock Brokers Limited</v>
          </cell>
          <cell r="B21">
            <v>152440</v>
          </cell>
        </row>
        <row r="22">
          <cell r="A22" t="str">
            <v>Paytm Money Ltd.</v>
          </cell>
          <cell r="B22">
            <v>790743</v>
          </cell>
        </row>
        <row r="23">
          <cell r="A23" t="str">
            <v>Nu Investors Technologies Private Limited (lemonn)</v>
          </cell>
          <cell r="B23">
            <v>134637</v>
          </cell>
        </row>
        <row r="24">
          <cell r="A24" t="str">
            <v>Gopocket Invest Tech Private Limited (formerly Known As Sky Commodities India Pvt Ltd)</v>
          </cell>
          <cell r="B24">
            <v>14943</v>
          </cell>
        </row>
        <row r="25">
          <cell r="A25" t="str">
            <v>Smc Global Securities Ltd.</v>
          </cell>
          <cell r="B25">
            <v>159798</v>
          </cell>
        </row>
        <row r="26">
          <cell r="A26" t="str">
            <v>Nirmal Bang Securities Pvt. Ltd.</v>
          </cell>
          <cell r="B26">
            <v>135770</v>
          </cell>
        </row>
        <row r="27">
          <cell r="A27" t="str">
            <v>Finsol Securities Private Limited</v>
          </cell>
          <cell r="B27">
            <v>1</v>
          </cell>
        </row>
        <row r="28">
          <cell r="A28" t="str">
            <v>Indiabulls Securities Limited (formerly Known As Dhani Stocks Limited)</v>
          </cell>
          <cell r="B28">
            <v>59175</v>
          </cell>
        </row>
        <row r="29">
          <cell r="A29" t="str">
            <v>Religare Broking Limited</v>
          </cell>
          <cell r="B29">
            <v>129369</v>
          </cell>
        </row>
        <row r="30">
          <cell r="A30" t="str">
            <v>Samco Securities Limited</v>
          </cell>
          <cell r="B30">
            <v>53166</v>
          </cell>
        </row>
        <row r="31">
          <cell r="A31" t="str">
            <v>Moneywise Finvest Limited (Stoxkart)</v>
          </cell>
          <cell r="B31">
            <v>80710</v>
          </cell>
        </row>
        <row r="32">
          <cell r="A32" t="str">
            <v>5paisa Capital Limited</v>
          </cell>
          <cell r="B32">
            <v>321573</v>
          </cell>
        </row>
        <row r="33">
          <cell r="A33" t="str">
            <v>Dhan Stock &amp; Share Brokers Pvt. Ltd.</v>
          </cell>
          <cell r="B33">
            <v>25</v>
          </cell>
        </row>
        <row r="34">
          <cell r="A34" t="str">
            <v>Finvasia Securities Private Limited</v>
          </cell>
          <cell r="B34">
            <v>93517</v>
          </cell>
        </row>
        <row r="35">
          <cell r="A35" t="str">
            <v>Indstocks Private Limited</v>
          </cell>
          <cell r="B35">
            <v>713655</v>
          </cell>
        </row>
        <row r="36">
          <cell r="A36" t="str">
            <v>Fyers Securities Private Limited</v>
          </cell>
          <cell r="B36">
            <v>196429</v>
          </cell>
        </row>
        <row r="37">
          <cell r="A37" t="str">
            <v>Alice Blue Fin Svcs P Ltd</v>
          </cell>
          <cell r="B37">
            <v>95042</v>
          </cell>
        </row>
        <row r="38">
          <cell r="A38" t="str">
            <v>Flattrade Broking Private Limited</v>
          </cell>
          <cell r="B38">
            <v>40239</v>
          </cell>
        </row>
        <row r="39">
          <cell r="A39" t="str">
            <v>Bajaj Financial Securities Ltd.</v>
          </cell>
          <cell r="B39">
            <v>65587</v>
          </cell>
        </row>
        <row r="40">
          <cell r="A40" t="str">
            <v>Indusind Securities (Reliance Securities Limited)</v>
          </cell>
          <cell r="B40">
            <v>48869</v>
          </cell>
        </row>
        <row r="41">
          <cell r="A41" t="str">
            <v>Globe Capital Market Limited</v>
          </cell>
          <cell r="B41">
            <v>52849</v>
          </cell>
        </row>
        <row r="42">
          <cell r="A42" t="str">
            <v>Nuvama Wealth And Investment Limited.</v>
          </cell>
          <cell r="B42">
            <v>138989</v>
          </cell>
        </row>
        <row r="43">
          <cell r="A43" t="str">
            <v>Aaritya Broking Private Ltd (Sahi)</v>
          </cell>
          <cell r="B43">
            <v>252951</v>
          </cell>
        </row>
        <row r="44">
          <cell r="A44" t="str">
            <v>Yes Securities (india) Limited</v>
          </cell>
          <cell r="B44">
            <v>95661</v>
          </cell>
        </row>
        <row r="45">
          <cell r="A45" t="str">
            <v>Pocketful Fintech Capital Private Limited</v>
          </cell>
          <cell r="B45">
            <v>10096</v>
          </cell>
        </row>
        <row r="46">
          <cell r="A46" t="str">
            <v>Lalkar Securities Private Limited</v>
          </cell>
          <cell r="B46">
            <v>667</v>
          </cell>
        </row>
        <row r="47">
          <cell r="A47" t="str">
            <v>Aditya Birla Money Limited</v>
          </cell>
          <cell r="B47">
            <v>68323</v>
          </cell>
        </row>
        <row r="48">
          <cell r="A48" t="str">
            <v>Bob Capital Markets Limited</v>
          </cell>
          <cell r="B48">
            <v>15283</v>
          </cell>
        </row>
        <row r="49">
          <cell r="A49" t="str">
            <v>Arihant Capital Markets Limited</v>
          </cell>
          <cell r="B49">
            <v>54730</v>
          </cell>
        </row>
        <row r="50">
          <cell r="A50" t="str">
            <v>Prabhudas Lilladher Pvt. Ltd.</v>
          </cell>
          <cell r="B50">
            <v>45039</v>
          </cell>
        </row>
        <row r="51">
          <cell r="A51" t="str">
            <v>Karvy Comtrade Limited</v>
          </cell>
          <cell r="B51" t="str">
            <v>-</v>
          </cell>
        </row>
        <row r="52">
          <cell r="A52" t="str">
            <v>Rksv Commodities India Private Limited</v>
          </cell>
          <cell r="B52" t="str">
            <v>-</v>
          </cell>
        </row>
        <row r="53">
          <cell r="A53" t="str">
            <v>Jm Financial Services Limited</v>
          </cell>
          <cell r="B53">
            <v>113671</v>
          </cell>
        </row>
        <row r="54">
          <cell r="A54" t="str">
            <v>Icici Bank Ltd.</v>
          </cell>
          <cell r="B54">
            <v>1</v>
          </cell>
        </row>
        <row r="55">
          <cell r="A55" t="str">
            <v>Univest Stock Broking Private Limited</v>
          </cell>
          <cell r="B55">
            <v>36105</v>
          </cell>
        </row>
        <row r="56">
          <cell r="A56" t="str">
            <v>Ventura Securities Limited</v>
          </cell>
          <cell r="B56">
            <v>99576</v>
          </cell>
        </row>
        <row r="57">
          <cell r="A57" t="str">
            <v>Idbi Capital Markets &amp; Securities Ltd.</v>
          </cell>
          <cell r="B57">
            <v>57746</v>
          </cell>
        </row>
        <row r="58">
          <cell r="A58" t="str">
            <v>Rapid Capital Services</v>
          </cell>
          <cell r="B58" t="str">
            <v>-</v>
          </cell>
        </row>
        <row r="59">
          <cell r="A59" t="str">
            <v>Phonepe Wealth Broking Private Limited</v>
          </cell>
          <cell r="B59">
            <v>205141</v>
          </cell>
        </row>
        <row r="60">
          <cell r="A60" t="str">
            <v>Navia Markets Ltd.</v>
          </cell>
          <cell r="B60">
            <v>14951</v>
          </cell>
        </row>
        <row r="61">
          <cell r="A61" t="str">
            <v>Goodwill Wealth Management Pvt Ltd</v>
          </cell>
          <cell r="B61">
            <v>21757</v>
          </cell>
        </row>
        <row r="62">
          <cell r="A62" t="str">
            <v>Bonanza Portfolio Ltd.</v>
          </cell>
          <cell r="B62">
            <v>53609</v>
          </cell>
        </row>
        <row r="63">
          <cell r="A63" t="str">
            <v>Geojit Investments Limited</v>
          </cell>
          <cell r="B63">
            <v>209373</v>
          </cell>
        </row>
        <row r="64">
          <cell r="A64" t="str">
            <v>Trdez Investment Private Limited</v>
          </cell>
          <cell r="B64" t="str">
            <v>-</v>
          </cell>
        </row>
        <row r="65">
          <cell r="A65" t="str">
            <v>Profitmart Securities Private Limited</v>
          </cell>
          <cell r="B65">
            <v>25149</v>
          </cell>
        </row>
        <row r="66">
          <cell r="A66" t="str">
            <v>Integrated Enterprises (india) Private Limited</v>
          </cell>
          <cell r="B66">
            <v>50474</v>
          </cell>
        </row>
        <row r="67">
          <cell r="A67" t="str">
            <v>R K Global Shares &amp; Securities Limited</v>
          </cell>
          <cell r="B67">
            <v>6340</v>
          </cell>
        </row>
        <row r="68">
          <cell r="A68" t="str">
            <v>Kunvarji Finstock Pvt. Ltd.</v>
          </cell>
          <cell r="B68">
            <v>10453</v>
          </cell>
        </row>
        <row r="69">
          <cell r="A69" t="str">
            <v>Interactive Brokers (india) Private Limited</v>
          </cell>
          <cell r="B69">
            <v>1100</v>
          </cell>
        </row>
        <row r="70">
          <cell r="A70" t="str">
            <v>Master Capital Services Limited</v>
          </cell>
          <cell r="B70">
            <v>58595</v>
          </cell>
        </row>
        <row r="71">
          <cell r="A71" t="str">
            <v>Stock Holding Corporation Of India Ltd</v>
          </cell>
          <cell r="B71" t="str">
            <v>-</v>
          </cell>
        </row>
        <row r="72">
          <cell r="A72" t="str">
            <v>Arham Wealth Management Pvt Ltd</v>
          </cell>
          <cell r="B72">
            <v>3285</v>
          </cell>
        </row>
        <row r="73">
          <cell r="A73" t="str">
            <v>Inventure Growth &amp; Securities Limited</v>
          </cell>
          <cell r="B73">
            <v>11187</v>
          </cell>
        </row>
        <row r="74">
          <cell r="A74" t="str">
            <v>Finwizard Technology Private Limited</v>
          </cell>
          <cell r="B74">
            <v>13270</v>
          </cell>
        </row>
        <row r="75">
          <cell r="A75" t="str">
            <v>Smifs Limited</v>
          </cell>
          <cell r="B75">
            <v>6842</v>
          </cell>
        </row>
        <row r="76">
          <cell r="A76" t="str">
            <v>Ashlar Securities Private Limited</v>
          </cell>
          <cell r="B76">
            <v>3189</v>
          </cell>
        </row>
        <row r="77">
          <cell r="A77" t="str">
            <v xml:space="preserve">Nirmal Bang Equities Private Limited </v>
          </cell>
          <cell r="B77">
            <v>153</v>
          </cell>
        </row>
        <row r="78">
          <cell r="A78" t="str">
            <v>Stable Broking Private Limited</v>
          </cell>
          <cell r="B78" t="str">
            <v>-</v>
          </cell>
        </row>
        <row r="79">
          <cell r="A79" t="str">
            <v>Centrum Broking Limited</v>
          </cell>
          <cell r="B79">
            <v>2243</v>
          </cell>
        </row>
        <row r="80">
          <cell r="A80" t="str">
            <v>Ats Share Brokers Private Limited</v>
          </cell>
          <cell r="B80">
            <v>2708</v>
          </cell>
        </row>
        <row r="81">
          <cell r="A81" t="str">
            <v>Ashika Stock Broking Ltd.</v>
          </cell>
          <cell r="B81">
            <v>19842</v>
          </cell>
        </row>
        <row r="82">
          <cell r="A82" t="str">
            <v>Lkp Securities Ltd.</v>
          </cell>
          <cell r="B82">
            <v>23567</v>
          </cell>
        </row>
        <row r="83">
          <cell r="A83" t="str">
            <v>Swastika Investmart Limited</v>
          </cell>
          <cell r="B83">
            <v>50324</v>
          </cell>
        </row>
        <row r="84">
          <cell r="A84" t="str">
            <v>Market Pulse Securities Private Limited</v>
          </cell>
          <cell r="B84">
            <v>15353</v>
          </cell>
        </row>
        <row r="85">
          <cell r="A85" t="str">
            <v>Grip Broking Private Limited</v>
          </cell>
          <cell r="B85" t="str">
            <v>-</v>
          </cell>
        </row>
        <row r="86">
          <cell r="A86" t="str">
            <v>Growth Securities Private Limited</v>
          </cell>
          <cell r="B86">
            <v>328</v>
          </cell>
        </row>
        <row r="87">
          <cell r="A87" t="str">
            <v>Share India Securities Limited</v>
          </cell>
          <cell r="B87">
            <v>8668</v>
          </cell>
        </row>
        <row r="88">
          <cell r="A88" t="str">
            <v>Nuvama Wealth Management Limited</v>
          </cell>
          <cell r="B88">
            <v>621</v>
          </cell>
        </row>
        <row r="89">
          <cell r="A89" t="str">
            <v>Indusind Bank Limited</v>
          </cell>
          <cell r="B89" t="str">
            <v>-</v>
          </cell>
        </row>
        <row r="90">
          <cell r="A90" t="str">
            <v>Bp Equities Private Limited</v>
          </cell>
          <cell r="B90">
            <v>12546</v>
          </cell>
        </row>
        <row r="91">
          <cell r="A91" t="str">
            <v>Nj India Invest Private Limited</v>
          </cell>
          <cell r="B91">
            <v>74320</v>
          </cell>
        </row>
        <row r="92">
          <cell r="A92" t="str">
            <v>Bajaj Share &amp; Stock Brokers Pvt. Ltd</v>
          </cell>
          <cell r="B92">
            <v>20</v>
          </cell>
        </row>
        <row r="93">
          <cell r="A93" t="str">
            <v>Sunshine Stock Broking Private Limited</v>
          </cell>
          <cell r="B93">
            <v>182</v>
          </cell>
        </row>
        <row r="94">
          <cell r="A94" t="str">
            <v>Stockholding Services Limited</v>
          </cell>
          <cell r="B94">
            <v>73251</v>
          </cell>
        </row>
        <row r="95">
          <cell r="A95" t="str">
            <v>Mintcap Brokers Private Limited</v>
          </cell>
          <cell r="B95">
            <v>6299</v>
          </cell>
        </row>
        <row r="96">
          <cell r="A96" t="str">
            <v>1 Finance Private Ltd</v>
          </cell>
          <cell r="B96" t="str">
            <v>-</v>
          </cell>
        </row>
        <row r="97">
          <cell r="A97" t="str">
            <v>Shri Parasram Holdings Pvt. Ltd.</v>
          </cell>
          <cell r="B97">
            <v>32632</v>
          </cell>
        </row>
        <row r="98">
          <cell r="A98" t="str">
            <v>Prithvi Finmart Private Limited</v>
          </cell>
          <cell r="B98">
            <v>6529</v>
          </cell>
        </row>
        <row r="99">
          <cell r="A99" t="str">
            <v>Shriram Insight Share Brokers Limited</v>
          </cell>
          <cell r="B99">
            <v>25716</v>
          </cell>
        </row>
        <row r="100">
          <cell r="A100" t="str">
            <v>Sunlight Broking Llp</v>
          </cell>
          <cell r="B100">
            <v>6452</v>
          </cell>
        </row>
        <row r="101">
          <cell r="A101" t="str">
            <v>Singhal Capital Services Ltd.</v>
          </cell>
          <cell r="B101">
            <v>72</v>
          </cell>
        </row>
        <row r="102">
          <cell r="A102" t="str">
            <v>Delta Techinvest Private Limited</v>
          </cell>
          <cell r="B102">
            <v>1</v>
          </cell>
        </row>
        <row r="103">
          <cell r="A103" t="str">
            <v>B N Rathi Securities Limited</v>
          </cell>
          <cell r="B103">
            <v>18705</v>
          </cell>
        </row>
        <row r="104">
          <cell r="A104" t="str">
            <v>Trustline Securities Limited</v>
          </cell>
          <cell r="B104">
            <v>10566</v>
          </cell>
        </row>
        <row r="105">
          <cell r="A105" t="str">
            <v>Mandot Securities Private Limited</v>
          </cell>
          <cell r="B105">
            <v>2272</v>
          </cell>
        </row>
        <row r="106">
          <cell r="A106" t="str">
            <v>Rk Global Equity Broking Ltd.</v>
          </cell>
          <cell r="B106" t="str">
            <v>-</v>
          </cell>
        </row>
        <row r="107">
          <cell r="A107" t="str">
            <v>Barclays Securities (india) Private Limited</v>
          </cell>
          <cell r="B107">
            <v>240</v>
          </cell>
        </row>
        <row r="108">
          <cell r="A108" t="str">
            <v>New Berry Capitals Private Limited</v>
          </cell>
          <cell r="B108">
            <v>81</v>
          </cell>
        </row>
        <row r="109">
          <cell r="A109" t="str">
            <v>Marketwolf Securities Private Limited</v>
          </cell>
          <cell r="B109">
            <v>34054</v>
          </cell>
        </row>
        <row r="110">
          <cell r="A110" t="str">
            <v>Adroit Financial Services Private Limited</v>
          </cell>
          <cell r="B110">
            <v>8235</v>
          </cell>
        </row>
        <row r="111">
          <cell r="A111" t="str">
            <v>Enrich Financial Market Private Limited</v>
          </cell>
          <cell r="B111">
            <v>10759</v>
          </cell>
        </row>
        <row r="112">
          <cell r="A112" t="str">
            <v>Fourdegreewater Services Private Limited</v>
          </cell>
          <cell r="B112" t="str">
            <v>-</v>
          </cell>
        </row>
        <row r="113">
          <cell r="A113" t="str">
            <v xml:space="preserve">Kedia Capital Services Private Limited </v>
          </cell>
          <cell r="B113">
            <v>2730</v>
          </cell>
        </row>
        <row r="114">
          <cell r="A114" t="str">
            <v>Julius Baer Wealth Advisors (india) Private Limited</v>
          </cell>
          <cell r="B114">
            <v>3241</v>
          </cell>
        </row>
        <row r="115">
          <cell r="A115" t="str">
            <v>Kifs Trade Capital Private Limited</v>
          </cell>
          <cell r="B115">
            <v>20500</v>
          </cell>
        </row>
        <row r="116">
          <cell r="A116" t="str">
            <v>Acumen Capital Market (india) Ltd</v>
          </cell>
          <cell r="B116">
            <v>16321</v>
          </cell>
        </row>
        <row r="117">
          <cell r="A117" t="str">
            <v>Arete Securities Limited</v>
          </cell>
          <cell r="B117">
            <v>78</v>
          </cell>
        </row>
        <row r="118">
          <cell r="A118" t="str">
            <v>Citadel Securities India Markets Private Limited</v>
          </cell>
          <cell r="B118">
            <v>1</v>
          </cell>
        </row>
        <row r="119">
          <cell r="A119" t="str">
            <v>Rudra Shares &amp; Stock Brokers Ltd</v>
          </cell>
          <cell r="B119">
            <v>12994</v>
          </cell>
        </row>
        <row r="120">
          <cell r="A120" t="str">
            <v>Jhaveri Securities Limited</v>
          </cell>
          <cell r="B120">
            <v>58790</v>
          </cell>
        </row>
        <row r="121">
          <cell r="A121" t="str">
            <v>Share India Algoplus Private Limited</v>
          </cell>
          <cell r="B121">
            <v>20</v>
          </cell>
        </row>
        <row r="122">
          <cell r="A122" t="str">
            <v>Junomoneta Finsol Private Limited</v>
          </cell>
          <cell r="B122">
            <v>23</v>
          </cell>
        </row>
        <row r="123">
          <cell r="A123" t="str">
            <v>Hdfc Bank Ltd.</v>
          </cell>
          <cell r="B123" t="str">
            <v>-</v>
          </cell>
        </row>
        <row r="124">
          <cell r="A124" t="str">
            <v>Citibank N.a.</v>
          </cell>
          <cell r="B124" t="str">
            <v>-</v>
          </cell>
        </row>
        <row r="125">
          <cell r="A125" t="str">
            <v>Fairwealth Commodity Broking Private Limited</v>
          </cell>
          <cell r="B125" t="str">
            <v>-</v>
          </cell>
        </row>
        <row r="126">
          <cell r="A126" t="str">
            <v>Stockology Securities Private Limited</v>
          </cell>
          <cell r="B126">
            <v>548</v>
          </cell>
        </row>
        <row r="127">
          <cell r="A127" t="str">
            <v>Hsbc Securities &amp; Capital Markets (india) Pvt. Ltd.</v>
          </cell>
          <cell r="B127">
            <v>254</v>
          </cell>
        </row>
        <row r="128">
          <cell r="A128" t="str">
            <v>Dealmoney Commodities Pvt. Ltd.</v>
          </cell>
          <cell r="B128">
            <v>1498</v>
          </cell>
        </row>
        <row r="129">
          <cell r="A129" t="str">
            <v>Yes Bank Limited</v>
          </cell>
          <cell r="B129">
            <v>1</v>
          </cell>
        </row>
        <row r="130">
          <cell r="A130" t="str">
            <v>Bondbazaar Securities Private Limited</v>
          </cell>
          <cell r="B130">
            <v>1406</v>
          </cell>
        </row>
        <row r="131">
          <cell r="A131" t="str">
            <v>Ski Capital Services Ltd.</v>
          </cell>
          <cell r="B131">
            <v>1683</v>
          </cell>
        </row>
        <row r="132">
          <cell r="A132" t="str">
            <v>Grow-on Portfolio Pvt.ltd.</v>
          </cell>
          <cell r="B132" t="str">
            <v>-</v>
          </cell>
        </row>
        <row r="133">
          <cell r="A133" t="str">
            <v>Skp Securities Ltd.</v>
          </cell>
          <cell r="B133">
            <v>2383</v>
          </cell>
        </row>
        <row r="134">
          <cell r="A134" t="str">
            <v>Exclusive Securities Ltd.</v>
          </cell>
          <cell r="B134" t="str">
            <v>-</v>
          </cell>
        </row>
        <row r="135">
          <cell r="A135" t="str">
            <v>Achintya Securities Limited</v>
          </cell>
          <cell r="B135">
            <v>759</v>
          </cell>
        </row>
        <row r="136">
          <cell r="A136" t="str">
            <v>Way2wealth Brokers Private Limited</v>
          </cell>
          <cell r="B136">
            <v>22054</v>
          </cell>
        </row>
        <row r="137">
          <cell r="A137" t="str">
            <v>Ambalal Shares And Stocks Private Limited</v>
          </cell>
          <cell r="B137">
            <v>1488</v>
          </cell>
        </row>
        <row r="138">
          <cell r="A138" t="str">
            <v>South Asian Stocks Ltd. (incredstocko.in)</v>
          </cell>
          <cell r="B138">
            <v>41057</v>
          </cell>
        </row>
        <row r="139">
          <cell r="A139" t="str">
            <v>Marwadi Shares And Finance Limited</v>
          </cell>
          <cell r="B139">
            <v>130489</v>
          </cell>
        </row>
        <row r="140">
          <cell r="A140" t="str">
            <v>Bhansali Value Creations Private Limited</v>
          </cell>
          <cell r="B140">
            <v>14188</v>
          </cell>
        </row>
        <row r="141">
          <cell r="A141" t="str">
            <v>Union Bank Of India</v>
          </cell>
          <cell r="B141">
            <v>1</v>
          </cell>
        </row>
        <row r="142">
          <cell r="A142" t="str">
            <v>State Bank Of India</v>
          </cell>
          <cell r="B142">
            <v>1</v>
          </cell>
        </row>
        <row r="143">
          <cell r="A143" t="str">
            <v>Elite Wealth Limited</v>
          </cell>
          <cell r="B143">
            <v>5527</v>
          </cell>
        </row>
        <row r="144">
          <cell r="A144" t="str">
            <v>Indbank Merchant Banking Services Ltd.</v>
          </cell>
          <cell r="B144">
            <v>12287</v>
          </cell>
        </row>
        <row r="145">
          <cell r="A145" t="str">
            <v>Centrum Finverse Limited</v>
          </cell>
          <cell r="B145">
            <v>2710</v>
          </cell>
        </row>
        <row r="146">
          <cell r="A146" t="str">
            <v>Alankit Imaginations Limited</v>
          </cell>
          <cell r="B146">
            <v>13638</v>
          </cell>
        </row>
        <row r="147">
          <cell r="A147" t="str">
            <v>Monarch Networth Capital Limited</v>
          </cell>
          <cell r="B147">
            <v>50582</v>
          </cell>
        </row>
        <row r="148">
          <cell r="A148" t="str">
            <v>Tata Securities Ltd.</v>
          </cell>
          <cell r="B148" t="str">
            <v>-</v>
          </cell>
        </row>
        <row r="149">
          <cell r="A149" t="str">
            <v>Affinity Securities Pvt. Ltd.</v>
          </cell>
          <cell r="B149" t="str">
            <v>-</v>
          </cell>
        </row>
        <row r="150">
          <cell r="A150" t="str">
            <v>Ksn Credence Commodities Trading Private Limited</v>
          </cell>
          <cell r="B150">
            <v>71</v>
          </cell>
        </row>
        <row r="151">
          <cell r="A151" t="str">
            <v>Mse Financial Services Ltd.</v>
          </cell>
          <cell r="B151">
            <v>2652</v>
          </cell>
        </row>
        <row r="152">
          <cell r="A152" t="str">
            <v>Zuari Finserv Limited</v>
          </cell>
          <cell r="B152">
            <v>4041</v>
          </cell>
        </row>
        <row r="153">
          <cell r="A153" t="str">
            <v>Indo Money Securities Private Limited</v>
          </cell>
          <cell r="B153" t="str">
            <v>-</v>
          </cell>
        </row>
        <row r="154">
          <cell r="A154" t="str">
            <v>Navkar Share &amp; Stock Brokers Private Limited</v>
          </cell>
          <cell r="B154">
            <v>2587</v>
          </cell>
        </row>
        <row r="155">
          <cell r="A155" t="str">
            <v>Astha Credit &amp; Securities (p) Ltd</v>
          </cell>
          <cell r="B155">
            <v>11917</v>
          </cell>
        </row>
        <row r="156">
          <cell r="A156" t="str">
            <v>Neo Wealth Management Private Limited</v>
          </cell>
          <cell r="B156">
            <v>643</v>
          </cell>
        </row>
        <row r="157">
          <cell r="A157" t="str">
            <v>Svcm Securities Private Limited</v>
          </cell>
          <cell r="B157">
            <v>87</v>
          </cell>
        </row>
        <row r="158">
          <cell r="A158" t="str">
            <v>Bank Of Baroda</v>
          </cell>
          <cell r="B158">
            <v>1</v>
          </cell>
        </row>
        <row r="159">
          <cell r="A159" t="str">
            <v>Tradeswift Broking Private Limited</v>
          </cell>
          <cell r="B159">
            <v>4143</v>
          </cell>
        </row>
        <row r="160">
          <cell r="A160" t="str">
            <v>Ifci Financial Services Limited</v>
          </cell>
          <cell r="B160">
            <v>3613</v>
          </cell>
        </row>
        <row r="161">
          <cell r="A161" t="str">
            <v>Wealth Mantra Commodities Pvt Ltd</v>
          </cell>
          <cell r="B161" t="str">
            <v>-</v>
          </cell>
        </row>
        <row r="162">
          <cell r="A162" t="str">
            <v>Bank Of India</v>
          </cell>
          <cell r="B162" t="str">
            <v>-</v>
          </cell>
        </row>
        <row r="163">
          <cell r="A163" t="str">
            <v>Zanskar Securities Private Limited</v>
          </cell>
          <cell r="B163">
            <v>4872</v>
          </cell>
        </row>
        <row r="164">
          <cell r="A164" t="str">
            <v>Prachay Securities Private Limited</v>
          </cell>
          <cell r="B164" t="str">
            <v>-</v>
          </cell>
        </row>
        <row r="165">
          <cell r="A165" t="str">
            <v>Goldenpi Securities Private Limited</v>
          </cell>
          <cell r="B165" t="str">
            <v>-</v>
          </cell>
        </row>
        <row r="166">
          <cell r="A166" t="str">
            <v>Global Vision Securities Private Limited</v>
          </cell>
          <cell r="B166">
            <v>1</v>
          </cell>
        </row>
        <row r="167">
          <cell r="A167" t="str">
            <v>Iss Enterprise Limited</v>
          </cell>
          <cell r="B167">
            <v>14234</v>
          </cell>
        </row>
        <row r="168">
          <cell r="A168" t="str">
            <v>Canara Bank Securities Limited</v>
          </cell>
          <cell r="B168">
            <v>17413</v>
          </cell>
        </row>
        <row r="169">
          <cell r="A169" t="str">
            <v>Fair Intermediate Investment Pvt. Ltd.</v>
          </cell>
          <cell r="B169">
            <v>1425</v>
          </cell>
        </row>
        <row r="170">
          <cell r="A170" t="str">
            <v>Stockfield Financial Services Private Limited</v>
          </cell>
          <cell r="B170">
            <v>1</v>
          </cell>
        </row>
        <row r="171">
          <cell r="A171" t="str">
            <v>Definedge Securities Broking Private Limited</v>
          </cell>
          <cell r="B171">
            <v>7376</v>
          </cell>
        </row>
        <row r="172">
          <cell r="A172" t="str">
            <v>Arcadia Commodities &amp; Trading</v>
          </cell>
          <cell r="B172" t="str">
            <v>-</v>
          </cell>
        </row>
        <row r="173">
          <cell r="A173" t="str">
            <v>Aditya Commodities &amp; Derivatives Private Limited</v>
          </cell>
          <cell r="B173" t="str">
            <v>-</v>
          </cell>
        </row>
        <row r="174">
          <cell r="A174" t="str">
            <v>Shri Ram Commodities</v>
          </cell>
          <cell r="B174">
            <v>36</v>
          </cell>
        </row>
        <row r="175">
          <cell r="A175" t="str">
            <v>Nnm Securities Pvt. Ltd.</v>
          </cell>
          <cell r="B175">
            <v>885</v>
          </cell>
        </row>
        <row r="176">
          <cell r="A176" t="str">
            <v>Jk Securities Pvt. Ltd.</v>
          </cell>
          <cell r="B176">
            <v>10151</v>
          </cell>
        </row>
        <row r="177">
          <cell r="A177" t="str">
            <v>Balaji Equities Ltd.</v>
          </cell>
          <cell r="B177">
            <v>2046</v>
          </cell>
        </row>
        <row r="178">
          <cell r="A178" t="str">
            <v>Kantilal Chhaganlal Securities Private Limited</v>
          </cell>
          <cell r="B178">
            <v>3158</v>
          </cell>
        </row>
        <row r="179">
          <cell r="A179" t="str">
            <v>Baljit Securities Pvt. Ltd.</v>
          </cell>
          <cell r="B179">
            <v>742</v>
          </cell>
        </row>
        <row r="180">
          <cell r="A180" t="str">
            <v>Muthoot Securities Ltd.</v>
          </cell>
          <cell r="B180">
            <v>3803</v>
          </cell>
        </row>
        <row r="181">
          <cell r="A181" t="str">
            <v>Fingeek Digital Private Limited</v>
          </cell>
          <cell r="B181" t="str">
            <v>-</v>
          </cell>
        </row>
        <row r="182">
          <cell r="A182" t="str">
            <v>Avendus Wealth Management Private Limited</v>
          </cell>
          <cell r="B182">
            <v>138</v>
          </cell>
        </row>
        <row r="183">
          <cell r="A183" t="str">
            <v>Orbis Financial Corporation Limited</v>
          </cell>
          <cell r="B183" t="str">
            <v>-</v>
          </cell>
        </row>
        <row r="184">
          <cell r="A184" t="str">
            <v>Bonanza Commodity Brokers Pvt. Ltd.</v>
          </cell>
          <cell r="B184" t="str">
            <v>-</v>
          </cell>
        </row>
        <row r="185">
          <cell r="A185" t="str">
            <v>Pace Stock Broking Services Private Limited</v>
          </cell>
          <cell r="B185">
            <v>4130</v>
          </cell>
        </row>
        <row r="186">
          <cell r="A186" t="str">
            <v>Fortune Capital Services</v>
          </cell>
          <cell r="B186">
            <v>105</v>
          </cell>
        </row>
        <row r="187">
          <cell r="A187" t="str">
            <v>Greshma Shares &amp; Stocks Limited</v>
          </cell>
          <cell r="B187">
            <v>2193</v>
          </cell>
        </row>
        <row r="188">
          <cell r="A188" t="str">
            <v>Frr Shares And Securities Limited</v>
          </cell>
          <cell r="B188">
            <v>1443</v>
          </cell>
        </row>
        <row r="189">
          <cell r="A189" t="str">
            <v>Pcs Securities Ltd.</v>
          </cell>
          <cell r="B189" t="str">
            <v>-</v>
          </cell>
        </row>
        <row r="190">
          <cell r="A190" t="str">
            <v>Maheshwari Equity Services (p) Limited</v>
          </cell>
          <cell r="B190">
            <v>51</v>
          </cell>
        </row>
        <row r="191">
          <cell r="A191" t="str">
            <v>Peerless Securities Limited</v>
          </cell>
          <cell r="B191">
            <v>4428</v>
          </cell>
        </row>
        <row r="192">
          <cell r="A192" t="str">
            <v>Ghalla Bhansali Stock Brokers Private Limited</v>
          </cell>
          <cell r="B192">
            <v>1957</v>
          </cell>
        </row>
        <row r="193">
          <cell r="A193" t="str">
            <v>Lakshmishree Investment &amp; Securities Pvt. Ltd.</v>
          </cell>
          <cell r="B193">
            <v>26545</v>
          </cell>
        </row>
        <row r="194">
          <cell r="A194" t="str">
            <v>Sushil Financial Services Private Limited</v>
          </cell>
          <cell r="B194">
            <v>47246</v>
          </cell>
        </row>
        <row r="195">
          <cell r="A195" t="str">
            <v>Centricity Securities Private Limited</v>
          </cell>
          <cell r="B195" t="str">
            <v>-</v>
          </cell>
        </row>
        <row r="196">
          <cell r="A196" t="str">
            <v>Kedia Shares &amp; Stocks Brokers Limited</v>
          </cell>
          <cell r="B196">
            <v>701</v>
          </cell>
        </row>
        <row r="197">
          <cell r="A197" t="str">
            <v>Ajcon Global Services Limited</v>
          </cell>
          <cell r="B197">
            <v>2045</v>
          </cell>
        </row>
        <row r="198">
          <cell r="A198" t="str">
            <v>Kifs Broking Private Limited</v>
          </cell>
          <cell r="B198">
            <v>6</v>
          </cell>
        </row>
        <row r="199">
          <cell r="A199" t="str">
            <v>Elixir Equities Private Limited</v>
          </cell>
          <cell r="B199">
            <v>42</v>
          </cell>
        </row>
        <row r="200">
          <cell r="A200" t="str">
            <v>Kotak Commodity Services Private Limited</v>
          </cell>
          <cell r="B200" t="str">
            <v>-</v>
          </cell>
        </row>
        <row r="201">
          <cell r="A201" t="str">
            <v>Pravin Ratilal Share And Stock Brokers Ltd</v>
          </cell>
          <cell r="B201">
            <v>11409</v>
          </cell>
        </row>
        <row r="202">
          <cell r="A202" t="str">
            <v>Wealthyin Broking Private Limited</v>
          </cell>
          <cell r="B202">
            <v>6988</v>
          </cell>
        </row>
        <row r="203">
          <cell r="A203" t="str">
            <v>Axis Bank Ltd.</v>
          </cell>
          <cell r="B203">
            <v>1</v>
          </cell>
        </row>
        <row r="204">
          <cell r="A204" t="str">
            <v>Capstocks &amp; Securities (india) Private Limited</v>
          </cell>
          <cell r="B204">
            <v>6613</v>
          </cell>
        </row>
        <row r="205">
          <cell r="A205" t="str">
            <v>India Advantage Securities Private Limited</v>
          </cell>
          <cell r="B205">
            <v>4490</v>
          </cell>
        </row>
        <row r="206">
          <cell r="A206" t="str">
            <v>Integra Securities Private Limited</v>
          </cell>
          <cell r="B206">
            <v>56</v>
          </cell>
        </row>
        <row r="207">
          <cell r="A207" t="str">
            <v>Dyna Wegmans Securities Limited</v>
          </cell>
          <cell r="B207">
            <v>173</v>
          </cell>
        </row>
        <row r="208">
          <cell r="A208" t="str">
            <v>Prudent Broking Services Private Limited</v>
          </cell>
          <cell r="B208" t="str">
            <v>-</v>
          </cell>
        </row>
        <row r="209">
          <cell r="A209" t="str">
            <v>Dynamic Equities Private Limited</v>
          </cell>
          <cell r="B209">
            <v>41</v>
          </cell>
        </row>
        <row r="210">
          <cell r="A210" t="str">
            <v>Punjab National Bank</v>
          </cell>
          <cell r="B210">
            <v>1</v>
          </cell>
        </row>
        <row r="211">
          <cell r="A211" t="str">
            <v>Itc Limited</v>
          </cell>
          <cell r="B211" t="str">
            <v>-</v>
          </cell>
        </row>
        <row r="212">
          <cell r="A212" t="str">
            <v>Quant Institutional Equities Private Limited</v>
          </cell>
          <cell r="B212" t="str">
            <v>-</v>
          </cell>
        </row>
        <row r="213">
          <cell r="A213" t="str">
            <v>Abhipra Capital Limited</v>
          </cell>
          <cell r="B213">
            <v>1238</v>
          </cell>
        </row>
        <row r="214">
          <cell r="A214" t="str">
            <v>Quant Securities Private Limited</v>
          </cell>
          <cell r="B214" t="str">
            <v>-</v>
          </cell>
        </row>
        <row r="215">
          <cell r="A215" t="str">
            <v>Standard Chartered Securities (india) Limited</v>
          </cell>
          <cell r="B215">
            <v>9036</v>
          </cell>
        </row>
        <row r="216">
          <cell r="A216" t="str">
            <v>Quantum Securities Pvt. Ltd.</v>
          </cell>
          <cell r="B216" t="str">
            <v>-</v>
          </cell>
        </row>
        <row r="217">
          <cell r="A217" t="str">
            <v>Econo Broking Private Limited</v>
          </cell>
          <cell r="B217">
            <v>32963</v>
          </cell>
        </row>
        <row r="218">
          <cell r="A218" t="str">
            <v>Dgp Securities Ltd.</v>
          </cell>
          <cell r="B218" t="str">
            <v>-</v>
          </cell>
        </row>
        <row r="219">
          <cell r="A219" t="str">
            <v>Gepl Capital Private Limited</v>
          </cell>
          <cell r="B219">
            <v>9963</v>
          </cell>
        </row>
        <row r="220">
          <cell r="A220" t="str">
            <v>Essence Investments &amp; Finance Ltd.</v>
          </cell>
          <cell r="B220" t="str">
            <v>-</v>
          </cell>
        </row>
        <row r="221">
          <cell r="A221" t="str">
            <v>Sunidhi Securities &amp; Finance Limited</v>
          </cell>
          <cell r="B221">
            <v>7816</v>
          </cell>
        </row>
        <row r="222">
          <cell r="A222" t="str">
            <v>Bgse Financials Limited</v>
          </cell>
          <cell r="B222">
            <v>12340</v>
          </cell>
        </row>
        <row r="223">
          <cell r="A223" t="str">
            <v>Aum Securities Private Ltd.</v>
          </cell>
          <cell r="B223">
            <v>891</v>
          </cell>
        </row>
        <row r="224">
          <cell r="A224" t="str">
            <v>Indira Securities Private Limited</v>
          </cell>
          <cell r="B224">
            <v>9569</v>
          </cell>
        </row>
        <row r="225">
          <cell r="A225" t="str">
            <v>Multigain Securities Services Pvt. Ltd.</v>
          </cell>
          <cell r="B225">
            <v>187</v>
          </cell>
        </row>
        <row r="226">
          <cell r="A226" t="str">
            <v>Edelweiss Comtrade Limited</v>
          </cell>
          <cell r="B226" t="str">
            <v>-</v>
          </cell>
        </row>
        <row r="227">
          <cell r="A227" t="str">
            <v>Munoth Financial Services Ltd.</v>
          </cell>
          <cell r="B227">
            <v>178</v>
          </cell>
        </row>
        <row r="228">
          <cell r="A228" t="str">
            <v>Rikhav Securities Limited</v>
          </cell>
          <cell r="B228">
            <v>5210</v>
          </cell>
        </row>
        <row r="229">
          <cell r="A229" t="str">
            <v>Tradejini Financial Services Pvt Ltd</v>
          </cell>
          <cell r="B229">
            <v>11521</v>
          </cell>
        </row>
        <row r="230">
          <cell r="A230" t="str">
            <v>Eureka Stock &amp; Share Broking Services Limited</v>
          </cell>
          <cell r="B230">
            <v>26468</v>
          </cell>
        </row>
        <row r="231">
          <cell r="A231" t="str">
            <v>Khosla Tradewise Private Limited</v>
          </cell>
          <cell r="B231">
            <v>33</v>
          </cell>
        </row>
        <row r="232">
          <cell r="A232" t="str">
            <v>Bnp Paribas</v>
          </cell>
          <cell r="B232" t="str">
            <v>-</v>
          </cell>
        </row>
        <row r="233">
          <cell r="A233" t="str">
            <v>Uae Exchange &amp; Finance Ltd.</v>
          </cell>
          <cell r="B233">
            <v>1001</v>
          </cell>
        </row>
        <row r="234">
          <cell r="A234" t="str">
            <v>Asset Plus</v>
          </cell>
          <cell r="B234" t="str">
            <v>-</v>
          </cell>
        </row>
        <row r="235">
          <cell r="A235" t="str">
            <v>Ans Pvt. Ltd.</v>
          </cell>
          <cell r="B235">
            <v>15289</v>
          </cell>
        </row>
        <row r="236">
          <cell r="A236" t="str">
            <v>Rudranath Stock Broking Private Limited</v>
          </cell>
          <cell r="B236" t="str">
            <v>-</v>
          </cell>
        </row>
        <row r="237">
          <cell r="A237" t="str">
            <v>Kotak Mahindra Bank Ltd.</v>
          </cell>
          <cell r="B237" t="str">
            <v>-</v>
          </cell>
        </row>
        <row r="238">
          <cell r="A238" t="str">
            <v>Bnr Capital Services Pvt.ltd.</v>
          </cell>
          <cell r="B238" t="str">
            <v>-</v>
          </cell>
        </row>
        <row r="239">
          <cell r="A239" t="str">
            <v>Mangal Keshav Financial Services Llp</v>
          </cell>
          <cell r="B239">
            <v>5697</v>
          </cell>
        </row>
        <row r="240">
          <cell r="A240" t="str">
            <v>Aionion Capital Market Services Private Limited</v>
          </cell>
          <cell r="B240">
            <v>31238</v>
          </cell>
        </row>
        <row r="241">
          <cell r="A241" t="str">
            <v>Marck Securities Pvt. Ltd.</v>
          </cell>
          <cell r="B241">
            <v>485</v>
          </cell>
        </row>
        <row r="242">
          <cell r="A242" t="str">
            <v>Shah Investors Home Limited</v>
          </cell>
          <cell r="B242">
            <v>37411</v>
          </cell>
        </row>
        <row r="243">
          <cell r="A243" t="str">
            <v>Hensex Securities Private Limited</v>
          </cell>
          <cell r="B243">
            <v>1076</v>
          </cell>
        </row>
        <row r="244">
          <cell r="A244" t="str">
            <v>Morgan Stanley India Company Private Limited</v>
          </cell>
          <cell r="B244">
            <v>401</v>
          </cell>
        </row>
        <row r="245">
          <cell r="A245" t="str">
            <v>Nikunj Stock Brokers Ltd.</v>
          </cell>
          <cell r="B245">
            <v>1906</v>
          </cell>
        </row>
        <row r="246">
          <cell r="A246" t="str">
            <v>M G Capital Services Ltd.</v>
          </cell>
          <cell r="B246" t="str">
            <v>-</v>
          </cell>
        </row>
        <row r="247">
          <cell r="A247" t="str">
            <v>Raghunandan Capital Private Limited</v>
          </cell>
          <cell r="B247">
            <v>5423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ddhant Sawant" id="{AED51F2D-A015-40FD-92DE-932CDE772721}" userId="siddhant.sawant@bajajbroking.in" providerId="PeoplePicker"/>
  <person displayName="Prabal Selwadiya" id="{45E6C18B-D63D-45C7-B049-27FAB2BD2D7A}" userId="S::prabal.selwadiya@bajajbroking.in::ba547732-48f4-4194-8b68-ec3df1128f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5-22T07:21:14.19" personId="{45E6C18B-D63D-45C7-B049-27FAB2BD2D7A}" id="{710D06BC-7ED4-4E49-962B-65BA4A7F7CE7}">
    <text xml:space="preserve">@Mridul Sapra not updated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6-09-02T06:43:22.26" personId="{45E6C18B-D63D-45C7-B049-27FAB2BD2D7A}" id="{2FDD5EC1-B50C-4426-BD2A-07F40FC52522}" done="1">
    <text>@Siddhant Sawant add july data</text>
    <mentions>
      <mention mentionpersonId="{AED51F2D-A015-40FD-92DE-932CDE772721}" mentionId="{5F859C4F-DF5D-43AC-86B6-91416802F84F}" startIndex="0" length="16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BE88F0-F2F6-443B-8E09-D7FF2855EBB6}">
  <we:reference id="df76232d-21a6-4463-9d19-0518ac5aab5d" version="1.1.0.0" store="EXCatalog" storeType="EXCatalog"/>
  <we:alternateReferences>
    <we:reference id="WA200000556" version="1.1.0.0" store="en-IN" storeType="OMEX"/>
  </we:alternateReferences>
  <we:properties>
    <we:property name="Office.AutoShowTaskpaneWithDocument" value="true"/>
    <we:property name="documentId" value="&quot;d7c9abec-b792-47df-8c7e-45e23d90f17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vt.@%20(lakh%20Crore)" TargetMode="External"/><Relationship Id="rId2" Type="http://schemas.openxmlformats.org/officeDocument/2006/relationships/hyperlink" Target="https://www.bseindia.com/markets/equity/eqreports/grossdel" TargetMode="External"/><Relationship Id="rId1" Type="http://schemas.openxmlformats.org/officeDocument/2006/relationships/hyperlink" Target="https://www.nseindia.com/all-reports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FC54-6ABB-4788-81D8-C6029B6E6988}">
  <dimension ref="A1:BO40"/>
  <sheetViews>
    <sheetView tabSelected="1" topLeftCell="A16" zoomScale="114" workbookViewId="0">
      <pane xSplit="1" topLeftCell="AB1" activePane="topRight" state="frozen"/>
      <selection activeCell="A3" sqref="A3"/>
      <selection pane="topRight" activeCell="AF21" sqref="AF21"/>
    </sheetView>
  </sheetViews>
  <sheetFormatPr defaultRowHeight="15" x14ac:dyDescent="0.4"/>
  <cols>
    <col min="1" max="1" width="31.90625" style="8" bestFit="1" customWidth="1"/>
    <col min="2" max="2" width="15.6328125" style="8" bestFit="1" customWidth="1"/>
    <col min="3" max="3" width="31.54296875" style="8" bestFit="1" customWidth="1"/>
    <col min="4" max="4" width="11.1796875" style="8" hidden="1" customWidth="1"/>
    <col min="5" max="5" width="15" style="8" bestFit="1" customWidth="1"/>
    <col min="6" max="6" width="15.36328125" style="8" bestFit="1" customWidth="1"/>
    <col min="7" max="7" width="14.6328125" style="8" bestFit="1" customWidth="1"/>
    <col min="8" max="8" width="16.1796875" style="8" bestFit="1" customWidth="1"/>
    <col min="9" max="9" width="16.36328125" style="8" bestFit="1" customWidth="1"/>
    <col min="10" max="10" width="16.1796875" style="8" bestFit="1" customWidth="1"/>
    <col min="11" max="11" width="16.453125" style="8" bestFit="1" customWidth="1"/>
    <col min="12" max="12" width="14.6328125" style="8" bestFit="1" customWidth="1"/>
    <col min="13" max="13" width="14.90625" style="8" bestFit="1" customWidth="1"/>
    <col min="14" max="14" width="14.453125" style="8" bestFit="1" customWidth="1"/>
    <col min="15" max="15" width="14" style="8" bestFit="1" customWidth="1"/>
    <col min="16" max="16" width="14.54296875" style="8" bestFit="1" customWidth="1"/>
    <col min="17" max="17" width="14.7265625" style="8" bestFit="1" customWidth="1"/>
    <col min="18" max="18" width="14.08984375" style="8" bestFit="1" customWidth="1"/>
    <col min="19" max="19" width="15" style="8" bestFit="1" customWidth="1"/>
    <col min="20" max="20" width="14.81640625" style="8" bestFit="1" customWidth="1"/>
    <col min="21" max="21" width="14.36328125" style="8" bestFit="1" customWidth="1"/>
    <col min="22" max="22" width="14.26953125" style="8" bestFit="1" customWidth="1"/>
    <col min="23" max="23" width="16.7265625" style="8" bestFit="1" customWidth="1"/>
    <col min="24" max="24" width="14.26953125" style="8" bestFit="1" customWidth="1"/>
    <col min="25" max="25" width="17" style="8" bestFit="1" customWidth="1"/>
    <col min="26" max="26" width="16.08984375" style="8" bestFit="1" customWidth="1"/>
    <col min="27" max="27" width="16.1796875" style="8" bestFit="1" customWidth="1"/>
    <col min="28" max="29" width="14.81640625" style="8" bestFit="1" customWidth="1"/>
    <col min="30" max="30" width="16.08984375" style="8" bestFit="1" customWidth="1"/>
    <col min="31" max="31" width="16" style="8" bestFit="1" customWidth="1"/>
    <col min="32" max="32" width="16.1796875" style="8" bestFit="1" customWidth="1"/>
    <col min="33" max="33" width="12.1796875" style="8" customWidth="1"/>
    <col min="34" max="37" width="8.7265625" style="8"/>
    <col min="38" max="38" width="9.453125" style="8" bestFit="1" customWidth="1"/>
    <col min="39" max="49" width="8.7265625" style="8"/>
    <col min="50" max="50" width="21.6328125" style="8" customWidth="1"/>
    <col min="51" max="16384" width="8.7265625" style="8"/>
  </cols>
  <sheetData>
    <row r="1" spans="1:67" x14ac:dyDescent="0.4">
      <c r="A1" s="6"/>
      <c r="B1" s="6"/>
      <c r="C1" s="6" t="s">
        <v>0</v>
      </c>
      <c r="D1" s="7">
        <v>45352</v>
      </c>
      <c r="E1" s="7">
        <v>45383</v>
      </c>
      <c r="F1" s="7">
        <v>45413</v>
      </c>
      <c r="G1" s="7">
        <v>45444</v>
      </c>
      <c r="H1" s="7">
        <v>45474</v>
      </c>
      <c r="I1" s="7">
        <v>45505</v>
      </c>
      <c r="J1" s="7">
        <v>45536</v>
      </c>
      <c r="K1" s="7">
        <v>45566</v>
      </c>
      <c r="L1" s="7">
        <v>45597</v>
      </c>
      <c r="M1" s="7">
        <v>45627</v>
      </c>
      <c r="N1" s="7">
        <v>45658</v>
      </c>
      <c r="O1" s="7">
        <v>45689</v>
      </c>
      <c r="P1" s="7">
        <v>45717</v>
      </c>
      <c r="Q1" s="7">
        <v>45748</v>
      </c>
      <c r="R1" s="7">
        <v>45778</v>
      </c>
      <c r="S1" s="7">
        <v>45809</v>
      </c>
      <c r="T1" s="7">
        <v>45839</v>
      </c>
      <c r="U1" s="7">
        <v>45870</v>
      </c>
      <c r="V1" s="7">
        <v>45901</v>
      </c>
      <c r="W1" s="7">
        <v>45931</v>
      </c>
      <c r="X1" s="7">
        <v>45962</v>
      </c>
      <c r="Y1" s="7">
        <v>45992</v>
      </c>
      <c r="Z1" s="7">
        <v>46023</v>
      </c>
      <c r="AA1" s="7">
        <v>46054</v>
      </c>
      <c r="AB1" s="7">
        <v>46082</v>
      </c>
      <c r="AC1" s="7">
        <v>46113</v>
      </c>
      <c r="AD1" s="7">
        <v>46143</v>
      </c>
      <c r="AE1" s="7">
        <v>46174</v>
      </c>
      <c r="AF1" s="7">
        <v>46204</v>
      </c>
      <c r="AG1" s="7">
        <v>46235</v>
      </c>
    </row>
    <row r="2" spans="1:67" x14ac:dyDescent="0.4">
      <c r="A2" s="9" t="s">
        <v>1</v>
      </c>
      <c r="B2" s="9"/>
      <c r="C2" s="9" t="s">
        <v>2</v>
      </c>
      <c r="D2" s="9"/>
      <c r="E2" s="9">
        <v>20</v>
      </c>
      <c r="F2" s="9">
        <v>21</v>
      </c>
      <c r="G2" s="9">
        <v>19</v>
      </c>
      <c r="H2" s="9">
        <v>22</v>
      </c>
      <c r="I2" s="9">
        <v>21</v>
      </c>
      <c r="J2" s="9">
        <v>21</v>
      </c>
      <c r="K2" s="9">
        <v>21</v>
      </c>
      <c r="L2" s="9">
        <v>18</v>
      </c>
      <c r="M2" s="9">
        <v>21</v>
      </c>
      <c r="N2" s="9">
        <v>23</v>
      </c>
      <c r="O2" s="9">
        <v>19</v>
      </c>
      <c r="P2" s="9">
        <v>19</v>
      </c>
      <c r="Q2" s="10">
        <v>19</v>
      </c>
      <c r="R2" s="10">
        <v>21</v>
      </c>
      <c r="S2" s="10">
        <v>21</v>
      </c>
      <c r="T2" s="10">
        <v>23</v>
      </c>
      <c r="U2" s="10">
        <v>19</v>
      </c>
      <c r="V2" s="10">
        <v>22</v>
      </c>
      <c r="W2" s="10">
        <v>20</v>
      </c>
      <c r="X2" s="10">
        <v>19</v>
      </c>
      <c r="Y2" s="10">
        <v>22</v>
      </c>
      <c r="Z2" s="10">
        <v>20</v>
      </c>
      <c r="AA2" s="10">
        <v>21</v>
      </c>
      <c r="AB2" s="10">
        <v>19</v>
      </c>
      <c r="AC2" s="10">
        <v>21</v>
      </c>
      <c r="AD2" s="9">
        <v>19</v>
      </c>
      <c r="AE2" s="9">
        <v>21</v>
      </c>
      <c r="AF2" s="9">
        <v>23</v>
      </c>
      <c r="AG2" s="9">
        <v>21</v>
      </c>
    </row>
    <row r="3" spans="1:67" x14ac:dyDescent="0.4">
      <c r="A3" s="9" t="s">
        <v>17</v>
      </c>
      <c r="B3" s="9"/>
      <c r="C3" s="9" t="s">
        <v>3</v>
      </c>
      <c r="D3" s="9">
        <v>3.57</v>
      </c>
      <c r="E3" s="9">
        <v>3.58</v>
      </c>
      <c r="F3" s="9">
        <v>3.62</v>
      </c>
      <c r="G3" s="9">
        <v>3.66</v>
      </c>
      <c r="H3" s="9">
        <v>3.7</v>
      </c>
      <c r="I3" s="9">
        <v>3.76</v>
      </c>
      <c r="J3" s="9">
        <v>3.8</v>
      </c>
      <c r="K3" s="9">
        <v>3.84</v>
      </c>
      <c r="L3" s="9">
        <v>3.88</v>
      </c>
      <c r="M3" s="9">
        <v>3.9</v>
      </c>
      <c r="N3" s="9">
        <v>3.92</v>
      </c>
      <c r="O3" s="9">
        <v>3.93</v>
      </c>
      <c r="P3" s="9">
        <v>3.95</v>
      </c>
      <c r="Q3" s="9">
        <v>3.98</v>
      </c>
      <c r="R3" s="9">
        <v>4.0199999999999996</v>
      </c>
      <c r="S3" s="9">
        <v>4.05</v>
      </c>
      <c r="T3" s="9">
        <v>4.0999999999999996</v>
      </c>
      <c r="U3" s="9">
        <v>4.1500000000000004</v>
      </c>
      <c r="V3" s="9">
        <v>4.2</v>
      </c>
      <c r="W3" s="9">
        <v>4.2</v>
      </c>
      <c r="X3" s="9">
        <v>4.25</v>
      </c>
      <c r="Y3" s="9">
        <v>4.3</v>
      </c>
      <c r="Z3" s="9">
        <v>4.3600000000000003</v>
      </c>
      <c r="AA3" s="9">
        <v>4.4000000000000004</v>
      </c>
      <c r="AB3" s="9">
        <v>4.43</v>
      </c>
      <c r="AC3" s="9">
        <v>4.47</v>
      </c>
      <c r="AD3" s="9">
        <v>4.51</v>
      </c>
      <c r="AE3" s="9">
        <v>4.5999999999999996</v>
      </c>
      <c r="AF3" s="9">
        <v>4.5999999999999996</v>
      </c>
      <c r="AG3" s="9"/>
    </row>
    <row r="4" spans="1:67" x14ac:dyDescent="0.4">
      <c r="A4" s="9" t="s">
        <v>18</v>
      </c>
      <c r="B4" s="9"/>
      <c r="C4" s="9" t="s">
        <v>3</v>
      </c>
      <c r="D4" s="9">
        <v>11.1</v>
      </c>
      <c r="E4" s="9">
        <v>11.4</v>
      </c>
      <c r="F4" s="9">
        <v>11.7</v>
      </c>
      <c r="G4" s="9">
        <v>12</v>
      </c>
      <c r="H4" s="9">
        <v>12.9</v>
      </c>
      <c r="I4" s="9">
        <v>13.34</v>
      </c>
      <c r="J4" s="9">
        <v>13.7</v>
      </c>
      <c r="K4" s="9">
        <v>14</v>
      </c>
      <c r="L4" s="9">
        <v>14.3</v>
      </c>
      <c r="M4" s="9">
        <v>14.6</v>
      </c>
      <c r="N4" s="9">
        <v>15</v>
      </c>
      <c r="O4" s="9">
        <v>15.13</v>
      </c>
      <c r="P4" s="9">
        <v>15.3</v>
      </c>
      <c r="Q4" s="9">
        <v>15.4</v>
      </c>
      <c r="R4" s="9">
        <v>15.6</v>
      </c>
      <c r="S4" s="9">
        <v>15.8</v>
      </c>
      <c r="T4" s="9">
        <v>16.100000000000001</v>
      </c>
      <c r="U4" s="9">
        <v>16.3</v>
      </c>
      <c r="V4" s="9">
        <v>16.5</v>
      </c>
      <c r="W4" s="9">
        <v>16.8</v>
      </c>
      <c r="X4" s="9">
        <v>17</v>
      </c>
      <c r="Y4" s="9">
        <v>17.3</v>
      </c>
      <c r="Z4" s="9">
        <v>17.600000000000001</v>
      </c>
      <c r="AA4" s="9">
        <v>17.850000000000001</v>
      </c>
      <c r="AB4" s="9">
        <v>18.02</v>
      </c>
      <c r="AC4" s="9">
        <v>18.2</v>
      </c>
      <c r="AD4" s="9">
        <v>18.399999999999999</v>
      </c>
      <c r="AE4" s="9">
        <v>18.600000000000001</v>
      </c>
      <c r="AF4" s="9">
        <v>18.8</v>
      </c>
      <c r="AG4" s="9"/>
    </row>
    <row r="5" spans="1:67" x14ac:dyDescent="0.4">
      <c r="A5" s="9" t="s">
        <v>46</v>
      </c>
      <c r="B5" s="9"/>
      <c r="C5" s="9"/>
      <c r="D5" s="9">
        <f>D3+D4</f>
        <v>14.67</v>
      </c>
      <c r="E5" s="9">
        <f>E3+E4</f>
        <v>14.98</v>
      </c>
      <c r="F5" s="9">
        <f t="shared" ref="F5:AE5" si="0">F3+F4</f>
        <v>15.32</v>
      </c>
      <c r="G5" s="9">
        <f t="shared" si="0"/>
        <v>15.66</v>
      </c>
      <c r="H5" s="9">
        <f t="shared" si="0"/>
        <v>16.600000000000001</v>
      </c>
      <c r="I5" s="9">
        <f t="shared" si="0"/>
        <v>17.100000000000001</v>
      </c>
      <c r="J5" s="9">
        <f t="shared" si="0"/>
        <v>17.5</v>
      </c>
      <c r="K5" s="9">
        <f t="shared" si="0"/>
        <v>17.84</v>
      </c>
      <c r="L5" s="9">
        <f t="shared" si="0"/>
        <v>18.18</v>
      </c>
      <c r="M5" s="9">
        <f t="shared" si="0"/>
        <v>18.5</v>
      </c>
      <c r="N5" s="9">
        <f t="shared" si="0"/>
        <v>18.920000000000002</v>
      </c>
      <c r="O5" s="9">
        <f t="shared" si="0"/>
        <v>19.060000000000002</v>
      </c>
      <c r="P5" s="9">
        <f t="shared" si="0"/>
        <v>19.25</v>
      </c>
      <c r="Q5" s="9">
        <f t="shared" si="0"/>
        <v>19.38</v>
      </c>
      <c r="R5" s="9">
        <f t="shared" si="0"/>
        <v>19.619999999999997</v>
      </c>
      <c r="S5" s="9">
        <f t="shared" si="0"/>
        <v>19.850000000000001</v>
      </c>
      <c r="T5" s="9">
        <f t="shared" si="0"/>
        <v>20.200000000000003</v>
      </c>
      <c r="U5" s="9">
        <f t="shared" si="0"/>
        <v>20.450000000000003</v>
      </c>
      <c r="V5" s="9">
        <f t="shared" si="0"/>
        <v>20.7</v>
      </c>
      <c r="W5" s="11">
        <f t="shared" si="0"/>
        <v>21</v>
      </c>
      <c r="X5" s="9">
        <f t="shared" si="0"/>
        <v>21.25</v>
      </c>
      <c r="Y5" s="9">
        <f t="shared" si="0"/>
        <v>21.6</v>
      </c>
      <c r="Z5" s="9">
        <f t="shared" si="0"/>
        <v>21.96</v>
      </c>
      <c r="AA5" s="9">
        <f t="shared" si="0"/>
        <v>22.25</v>
      </c>
      <c r="AB5" s="9">
        <f t="shared" si="0"/>
        <v>22.45</v>
      </c>
      <c r="AC5" s="9">
        <f t="shared" si="0"/>
        <v>22.669999999999998</v>
      </c>
      <c r="AD5" s="9">
        <f>AD3+AD4</f>
        <v>22.909999999999997</v>
      </c>
      <c r="AE5" s="9">
        <f t="shared" si="0"/>
        <v>23.200000000000003</v>
      </c>
      <c r="AF5" s="9">
        <f>AF3+AF4</f>
        <v>23.4</v>
      </c>
      <c r="AG5" s="9"/>
    </row>
    <row r="6" spans="1:67" x14ac:dyDescent="0.4">
      <c r="A6" s="9" t="s">
        <v>4</v>
      </c>
      <c r="B6" s="9"/>
      <c r="C6" s="9" t="s">
        <v>5</v>
      </c>
      <c r="D6" s="12"/>
      <c r="E6" s="11">
        <f t="shared" ref="E6:AB6" si="1">E5-D5</f>
        <v>0.3100000000000005</v>
      </c>
      <c r="F6" s="11">
        <f t="shared" si="1"/>
        <v>0.33999999999999986</v>
      </c>
      <c r="G6" s="11">
        <f t="shared" si="1"/>
        <v>0.33999999999999986</v>
      </c>
      <c r="H6" s="11">
        <f t="shared" si="1"/>
        <v>0.94000000000000128</v>
      </c>
      <c r="I6" s="11">
        <f t="shared" si="1"/>
        <v>0.5</v>
      </c>
      <c r="J6" s="11">
        <f t="shared" si="1"/>
        <v>0.39999999999999858</v>
      </c>
      <c r="K6" s="11">
        <f t="shared" si="1"/>
        <v>0.33999999999999986</v>
      </c>
      <c r="L6" s="11">
        <f t="shared" si="1"/>
        <v>0.33999999999999986</v>
      </c>
      <c r="M6" s="11">
        <f t="shared" si="1"/>
        <v>0.32000000000000028</v>
      </c>
      <c r="N6" s="11">
        <f t="shared" si="1"/>
        <v>0.42000000000000171</v>
      </c>
      <c r="O6" s="11">
        <f t="shared" si="1"/>
        <v>0.14000000000000057</v>
      </c>
      <c r="P6" s="11">
        <f t="shared" si="1"/>
        <v>0.18999999999999773</v>
      </c>
      <c r="Q6" s="11">
        <f t="shared" si="1"/>
        <v>0.12999999999999901</v>
      </c>
      <c r="R6" s="11">
        <f t="shared" si="1"/>
        <v>0.23999999999999844</v>
      </c>
      <c r="S6" s="11">
        <f t="shared" si="1"/>
        <v>0.23000000000000398</v>
      </c>
      <c r="T6" s="11">
        <f t="shared" si="1"/>
        <v>0.35000000000000142</v>
      </c>
      <c r="U6" s="11">
        <f t="shared" si="1"/>
        <v>0.25</v>
      </c>
      <c r="V6" s="11">
        <f t="shared" si="1"/>
        <v>0.24999999999999645</v>
      </c>
      <c r="W6" s="11">
        <f t="shared" si="1"/>
        <v>0.30000000000000071</v>
      </c>
      <c r="X6" s="11">
        <f t="shared" si="1"/>
        <v>0.25</v>
      </c>
      <c r="Y6" s="11">
        <f t="shared" si="1"/>
        <v>0.35000000000000142</v>
      </c>
      <c r="Z6" s="11">
        <f t="shared" si="1"/>
        <v>0.35999999999999943</v>
      </c>
      <c r="AA6" s="11">
        <f t="shared" si="1"/>
        <v>0.28999999999999915</v>
      </c>
      <c r="AB6" s="11">
        <f t="shared" si="1"/>
        <v>0.19999999999999929</v>
      </c>
      <c r="AC6" s="11">
        <f>AC5-AB5</f>
        <v>0.21999999999999886</v>
      </c>
      <c r="AD6" s="11">
        <f t="shared" ref="AD6:AF6" si="2">AD5-AC5</f>
        <v>0.23999999999999844</v>
      </c>
      <c r="AE6" s="11">
        <f t="shared" si="2"/>
        <v>0.29000000000000625</v>
      </c>
      <c r="AF6" s="11">
        <f t="shared" si="2"/>
        <v>0.19999999999999574</v>
      </c>
      <c r="AG6" s="11"/>
    </row>
    <row r="7" spans="1:67" ht="45" x14ac:dyDescent="0.4">
      <c r="A7" s="9" t="s">
        <v>47</v>
      </c>
      <c r="B7" s="9"/>
      <c r="C7" s="13" t="s">
        <v>45</v>
      </c>
      <c r="D7" s="14" t="s">
        <v>24</v>
      </c>
      <c r="E7" s="11">
        <v>4.18</v>
      </c>
      <c r="F7" s="11">
        <v>4.29</v>
      </c>
      <c r="G7" s="11">
        <v>4.42</v>
      </c>
      <c r="H7" s="11">
        <v>4.57</v>
      </c>
      <c r="I7" s="11">
        <v>4.68</v>
      </c>
      <c r="J7" s="11">
        <v>4.79</v>
      </c>
      <c r="K7" s="11">
        <v>4.8899999999999997</v>
      </c>
      <c r="L7" s="11">
        <v>4.96</v>
      </c>
      <c r="M7" s="11">
        <v>5.0199999999999996</v>
      </c>
      <c r="N7" s="11">
        <v>5.0199999999999996</v>
      </c>
      <c r="O7" s="11">
        <v>4.9000000000000004</v>
      </c>
      <c r="P7" s="11">
        <v>4.92</v>
      </c>
      <c r="Q7" s="11">
        <v>4.8899999999999997</v>
      </c>
      <c r="R7" s="11">
        <v>4.8600000000000003</v>
      </c>
      <c r="S7" s="11">
        <v>4.79</v>
      </c>
      <c r="T7" s="11">
        <v>4.5999999999999996</v>
      </c>
      <c r="U7" s="11">
        <v>4.62</v>
      </c>
      <c r="V7" s="11">
        <v>4.54</v>
      </c>
      <c r="W7" s="11">
        <v>4.5199999999999996</v>
      </c>
      <c r="X7" s="11">
        <v>4.5</v>
      </c>
      <c r="Y7" s="11">
        <v>4.4800000000000004</v>
      </c>
      <c r="Z7" s="11">
        <v>4.51</v>
      </c>
      <c r="AA7" s="11">
        <v>4.55</v>
      </c>
      <c r="AB7" s="11">
        <v>4.57</v>
      </c>
      <c r="AC7" s="11">
        <v>4.58</v>
      </c>
      <c r="AD7" s="9">
        <v>4.5599999999999996</v>
      </c>
      <c r="AE7" s="9">
        <v>4.63</v>
      </c>
      <c r="AF7" s="9">
        <v>4.55</v>
      </c>
      <c r="AG7" s="9"/>
    </row>
    <row r="8" spans="1:67" x14ac:dyDescent="0.4">
      <c r="A8" s="9" t="s">
        <v>19</v>
      </c>
      <c r="B8" s="9"/>
      <c r="C8" s="9" t="s">
        <v>6</v>
      </c>
      <c r="D8" s="9"/>
      <c r="E8" s="15">
        <v>9.1999999999999993</v>
      </c>
      <c r="F8" s="15">
        <v>9.5</v>
      </c>
      <c r="G8" s="15">
        <v>9.6999999999999993</v>
      </c>
      <c r="H8" s="15">
        <v>10</v>
      </c>
      <c r="I8" s="15">
        <v>10.14</v>
      </c>
      <c r="J8" s="15">
        <v>10.3</v>
      </c>
      <c r="K8" s="15">
        <v>10.5</v>
      </c>
      <c r="L8" s="15">
        <v>10.7</v>
      </c>
      <c r="M8" s="15">
        <v>10.9</v>
      </c>
      <c r="N8" s="15">
        <v>11.1</v>
      </c>
      <c r="O8" s="15">
        <v>11.2</v>
      </c>
      <c r="P8" s="15">
        <v>11.3</v>
      </c>
      <c r="Q8" s="15">
        <v>11.4</v>
      </c>
      <c r="R8" s="15">
        <v>11.5</v>
      </c>
      <c r="S8" s="15">
        <v>11.6</v>
      </c>
      <c r="T8" s="15">
        <v>11.8</v>
      </c>
      <c r="U8" s="15">
        <v>11.9</v>
      </c>
      <c r="V8" s="15">
        <v>12</v>
      </c>
      <c r="W8" s="15">
        <v>12.2</v>
      </c>
      <c r="X8" s="15">
        <v>12.3</v>
      </c>
      <c r="Y8" s="15">
        <v>12.5</v>
      </c>
      <c r="Z8" s="15">
        <v>12.7</v>
      </c>
      <c r="AA8" s="15">
        <v>12.8</v>
      </c>
      <c r="AB8" s="15">
        <v>12.9</v>
      </c>
      <c r="AC8" s="9">
        <v>13</v>
      </c>
      <c r="AD8" s="9">
        <v>13.1</v>
      </c>
      <c r="AE8" s="9">
        <v>13.2</v>
      </c>
      <c r="AF8" s="9">
        <v>13.1</v>
      </c>
      <c r="AG8" s="9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7"/>
      <c r="S9" s="9"/>
      <c r="T9" s="9"/>
      <c r="U9" s="9"/>
      <c r="V9" s="9"/>
      <c r="W9" s="9"/>
      <c r="X9" s="9"/>
      <c r="Y9" s="9"/>
      <c r="Z9" s="9"/>
      <c r="AA9" s="9"/>
      <c r="AB9" s="18"/>
      <c r="AC9" s="9"/>
      <c r="AD9" s="9"/>
      <c r="AE9" s="9"/>
      <c r="AF9" s="9"/>
      <c r="AG9" s="9"/>
    </row>
    <row r="10" spans="1:67" ht="23" x14ac:dyDescent="0.4">
      <c r="A10" s="42" t="s">
        <v>294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7"/>
      <c r="S10" s="9"/>
      <c r="T10" s="9"/>
      <c r="U10" s="9"/>
      <c r="V10" s="9"/>
      <c r="W10" s="9"/>
      <c r="X10" s="9"/>
      <c r="Y10" s="9"/>
      <c r="Z10" s="9"/>
      <c r="AA10" s="9"/>
      <c r="AB10" s="18"/>
      <c r="AC10" s="9"/>
      <c r="AD10" s="9"/>
      <c r="AE10" s="9"/>
      <c r="AF10" s="9"/>
      <c r="AG10" s="9"/>
    </row>
    <row r="11" spans="1:67" x14ac:dyDescent="0.4">
      <c r="A11" s="9" t="s">
        <v>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9">
        <v>-418.36</v>
      </c>
      <c r="S11" s="19">
        <v>7488.98</v>
      </c>
      <c r="T11" s="19">
        <v>-47666.68</v>
      </c>
      <c r="U11" s="19">
        <v>-46902.92</v>
      </c>
      <c r="V11" s="19">
        <v>-35301.360000000001</v>
      </c>
      <c r="W11" s="19">
        <v>-2346.89</v>
      </c>
      <c r="X11" s="19">
        <v>-17500.310000000001</v>
      </c>
      <c r="Y11" s="19">
        <v>-34349.620000000003</v>
      </c>
      <c r="Z11" s="19">
        <v>-41435.22</v>
      </c>
      <c r="AA11" s="19">
        <v>-16601.68</v>
      </c>
      <c r="AB11" s="19">
        <v>-122540.41</v>
      </c>
      <c r="AC11" s="19">
        <v>-70135.460000000006</v>
      </c>
      <c r="AD11" s="34">
        <v>-55963.33</v>
      </c>
      <c r="AE11" s="34">
        <v>-49028.63</v>
      </c>
      <c r="AF11" s="34">
        <v>-5778.99</v>
      </c>
      <c r="AG11" s="34">
        <v>-7531.84</v>
      </c>
    </row>
    <row r="12" spans="1:67" x14ac:dyDescent="0.4">
      <c r="A12" s="9" t="s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9">
        <v>33144.78</v>
      </c>
      <c r="S12" s="19">
        <v>72673.91</v>
      </c>
      <c r="T12" s="19">
        <v>60939.16</v>
      </c>
      <c r="U12" s="19">
        <v>94828.55</v>
      </c>
      <c r="V12" s="19">
        <v>65343.59</v>
      </c>
      <c r="W12" s="19">
        <v>52794.02</v>
      </c>
      <c r="X12" s="19">
        <v>77083.78</v>
      </c>
      <c r="Y12" s="19">
        <v>79619.91</v>
      </c>
      <c r="Z12" s="19">
        <v>69220.740000000005</v>
      </c>
      <c r="AA12" s="19">
        <v>45381.98</v>
      </c>
      <c r="AB12" s="19">
        <v>142960.37</v>
      </c>
      <c r="AC12" s="19">
        <v>51063.87</v>
      </c>
      <c r="AD12" s="34">
        <v>82668.929999999993</v>
      </c>
      <c r="AE12" s="34">
        <v>85800.14</v>
      </c>
      <c r="AF12" s="34">
        <v>35099.25</v>
      </c>
      <c r="AG12" s="34">
        <v>58268.15</v>
      </c>
    </row>
    <row r="13" spans="1:67" x14ac:dyDescent="0.4">
      <c r="A13" s="9" t="s">
        <v>44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9">
        <v>-14543</v>
      </c>
      <c r="S13" s="19">
        <v>-1253.75</v>
      </c>
      <c r="T13" s="19">
        <v>-43048.73</v>
      </c>
      <c r="U13" s="19">
        <v>-8492.77</v>
      </c>
      <c r="V13" s="19">
        <v>-2542.15</v>
      </c>
      <c r="W13" s="19">
        <v>9265.5300000000007</v>
      </c>
      <c r="X13" s="19">
        <v>-8843.48</v>
      </c>
      <c r="Y13" s="19">
        <v>6182.18</v>
      </c>
      <c r="Z13" s="19">
        <v>-30802.53</v>
      </c>
      <c r="AA13" s="19">
        <v>2488.2399999999998</v>
      </c>
      <c r="AB13" s="19">
        <v>-42211.23</v>
      </c>
      <c r="AC13" s="19">
        <v>3876.85</v>
      </c>
      <c r="AD13" s="33">
        <v>-15559.03</v>
      </c>
      <c r="AE13" s="33">
        <v>-11896.57</v>
      </c>
      <c r="AF13" s="33">
        <v>668.11</v>
      </c>
      <c r="AG13" s="33">
        <v>-12900.29</v>
      </c>
    </row>
    <row r="14" spans="1:67" x14ac:dyDescent="0.4">
      <c r="A14" s="9" t="s">
        <v>43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9">
        <v>-10349.299999999999</v>
      </c>
      <c r="S14" s="19">
        <v>32161.48</v>
      </c>
      <c r="T14" s="19">
        <v>49530.93</v>
      </c>
      <c r="U14" s="19">
        <v>-16367.38</v>
      </c>
      <c r="V14" s="19">
        <v>105406.25</v>
      </c>
      <c r="W14" s="19">
        <v>138859.31</v>
      </c>
      <c r="X14" s="19">
        <v>92320.47</v>
      </c>
      <c r="Y14" s="19">
        <v>64894.62</v>
      </c>
      <c r="Z14" s="19">
        <v>-5538.19</v>
      </c>
      <c r="AA14" s="19">
        <v>-50400.14</v>
      </c>
      <c r="AB14" s="19">
        <v>-134333.26</v>
      </c>
      <c r="AC14" s="19">
        <v>-91189.96</v>
      </c>
      <c r="AD14" s="33">
        <v>-99574</v>
      </c>
      <c r="AE14" s="33">
        <v>-24021</v>
      </c>
      <c r="AF14" s="33">
        <v>-216446.82</v>
      </c>
      <c r="AG14" s="33">
        <v>-26904</v>
      </c>
      <c r="AL14" s="20"/>
    </row>
    <row r="15" spans="1:67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L15" s="20"/>
    </row>
    <row r="16" spans="1:67" x14ac:dyDescent="0.4">
      <c r="A16" s="9" t="s">
        <v>27</v>
      </c>
      <c r="B16" s="9" t="s">
        <v>9</v>
      </c>
      <c r="C16" s="9" t="s">
        <v>6</v>
      </c>
      <c r="D16" s="9">
        <v>124.9</v>
      </c>
      <c r="E16" s="9"/>
      <c r="F16" s="9"/>
      <c r="G16" s="9">
        <v>140</v>
      </c>
      <c r="H16" s="9"/>
      <c r="I16" s="9"/>
      <c r="J16" s="9">
        <v>153.6</v>
      </c>
      <c r="K16" s="9"/>
      <c r="L16" s="9"/>
      <c r="M16" s="9">
        <v>142.69999999999999</v>
      </c>
      <c r="N16" s="9"/>
      <c r="O16" s="9"/>
      <c r="P16" s="9">
        <v>132.80000000000001</v>
      </c>
      <c r="Q16" s="9"/>
      <c r="R16" s="9"/>
      <c r="S16" s="9">
        <v>147.30000000000001</v>
      </c>
      <c r="T16" s="9"/>
      <c r="U16" s="9"/>
      <c r="V16" s="9">
        <v>143.6</v>
      </c>
      <c r="W16" s="9"/>
      <c r="X16" s="9"/>
      <c r="Y16" s="9">
        <v>151.69999999999999</v>
      </c>
      <c r="Z16" s="9"/>
      <c r="AA16" s="9"/>
      <c r="AB16" s="9">
        <v>130</v>
      </c>
      <c r="AC16" s="9"/>
      <c r="AD16" s="9"/>
      <c r="AE16" s="9">
        <v>150.5</v>
      </c>
      <c r="AF16" s="9"/>
      <c r="AG16" s="9"/>
      <c r="AL16" s="20"/>
    </row>
    <row r="17" spans="1:55" x14ac:dyDescent="0.4">
      <c r="A17" s="9" t="s">
        <v>39</v>
      </c>
      <c r="B17" s="9" t="s">
        <v>9</v>
      </c>
      <c r="C17" s="9" t="s">
        <v>6</v>
      </c>
      <c r="D17" s="9">
        <v>42.7</v>
      </c>
      <c r="E17" s="9"/>
      <c r="F17" s="9"/>
      <c r="G17" s="9">
        <v>49.5</v>
      </c>
      <c r="H17" s="9"/>
      <c r="I17" s="9"/>
      <c r="J17" s="9">
        <v>49.1</v>
      </c>
      <c r="K17" s="9"/>
      <c r="L17" s="9"/>
      <c r="M17" s="9">
        <v>43.5</v>
      </c>
      <c r="N17" s="9"/>
      <c r="O17" s="9"/>
      <c r="P17" s="9">
        <v>40.700000000000003</v>
      </c>
      <c r="Q17" s="9"/>
      <c r="R17" s="9"/>
      <c r="S17" s="9">
        <v>46.3</v>
      </c>
      <c r="T17" s="9"/>
      <c r="U17" s="9"/>
      <c r="V17" s="9">
        <v>44.7</v>
      </c>
      <c r="W17" s="9"/>
      <c r="X17" s="9"/>
      <c r="Y17" s="9">
        <v>46.3</v>
      </c>
      <c r="Z17" s="9"/>
      <c r="AA17" s="9"/>
      <c r="AB17" s="9">
        <v>42</v>
      </c>
      <c r="AC17" s="9"/>
      <c r="AD17" s="9"/>
      <c r="AE17" s="9">
        <v>45.7</v>
      </c>
      <c r="AF17" s="9"/>
      <c r="AG17" s="9"/>
      <c r="AL17" s="20"/>
    </row>
    <row r="18" spans="1:55" x14ac:dyDescent="0.4">
      <c r="A18" s="9" t="s">
        <v>28</v>
      </c>
      <c r="B18" s="9" t="s">
        <v>9</v>
      </c>
      <c r="C18" s="9" t="s">
        <v>6</v>
      </c>
      <c r="D18" s="9">
        <v>30.6</v>
      </c>
      <c r="E18" s="9"/>
      <c r="F18" s="9"/>
      <c r="G18" s="9">
        <v>35.9</v>
      </c>
      <c r="H18" s="9"/>
      <c r="I18" s="9"/>
      <c r="J18" s="9">
        <v>38.799999999999997</v>
      </c>
      <c r="K18" s="9"/>
      <c r="L18" s="9"/>
      <c r="M18" s="9">
        <v>35.700000000000003</v>
      </c>
      <c r="N18" s="9"/>
      <c r="O18" s="9"/>
      <c r="P18" s="9">
        <v>33.200000000000003</v>
      </c>
      <c r="Q18" s="9"/>
      <c r="R18" s="9"/>
      <c r="S18" s="9">
        <v>37.1</v>
      </c>
      <c r="T18" s="9"/>
      <c r="U18" s="9"/>
      <c r="V18" s="9">
        <v>37.299999999999997</v>
      </c>
      <c r="W18" s="9"/>
      <c r="X18" s="9"/>
      <c r="Y18" s="9">
        <v>39.200000000000003</v>
      </c>
      <c r="Z18" s="9"/>
      <c r="AA18" s="9"/>
      <c r="AB18" s="9">
        <v>34.5</v>
      </c>
      <c r="AC18" s="9"/>
      <c r="AD18" s="9"/>
      <c r="AE18" s="9">
        <v>41.7</v>
      </c>
      <c r="AF18" s="9"/>
      <c r="AG18" s="9"/>
      <c r="AL18" s="20"/>
    </row>
    <row r="19" spans="1:55" x14ac:dyDescent="0.4">
      <c r="A19" s="9" t="s">
        <v>29</v>
      </c>
      <c r="B19" s="9" t="s">
        <v>9</v>
      </c>
      <c r="C19" s="9" t="s">
        <v>6</v>
      </c>
      <c r="D19" s="9">
        <v>6.3</v>
      </c>
      <c r="E19" s="9"/>
      <c r="F19" s="9"/>
      <c r="G19" s="9">
        <v>7.3</v>
      </c>
      <c r="H19" s="9"/>
      <c r="I19" s="9"/>
      <c r="J19" s="9">
        <v>8.1999999999999993</v>
      </c>
      <c r="K19" s="9"/>
      <c r="L19" s="9"/>
      <c r="M19" s="9">
        <v>7.8</v>
      </c>
      <c r="N19" s="9"/>
      <c r="O19" s="9"/>
      <c r="P19" s="9">
        <v>7.9</v>
      </c>
      <c r="Q19" s="9"/>
      <c r="R19" s="9"/>
      <c r="S19" s="9">
        <v>8.9</v>
      </c>
      <c r="T19" s="9"/>
      <c r="U19" s="9"/>
      <c r="V19" s="9">
        <v>8.8000000000000007</v>
      </c>
      <c r="W19" s="9"/>
      <c r="X19" s="9"/>
      <c r="Y19" s="9">
        <v>8.6999999999999993</v>
      </c>
      <c r="Z19" s="9"/>
      <c r="AA19" s="9"/>
      <c r="AB19" s="9">
        <v>9.8000000000000007</v>
      </c>
      <c r="AC19" s="9"/>
      <c r="AD19" s="9"/>
      <c r="AE19" s="9">
        <v>9.8000000000000007</v>
      </c>
      <c r="AF19" s="9"/>
      <c r="AG19" s="9"/>
      <c r="AL19" s="20"/>
      <c r="AX19" s="21"/>
      <c r="AY19" s="21"/>
      <c r="BB19" s="21"/>
      <c r="BC19" s="21"/>
    </row>
    <row r="20" spans="1:55" x14ac:dyDescent="0.4">
      <c r="A20" s="9" t="s">
        <v>30</v>
      </c>
      <c r="B20" s="9" t="s">
        <v>9</v>
      </c>
      <c r="C20" s="9" t="s">
        <v>6</v>
      </c>
      <c r="D20" s="9">
        <v>27.9</v>
      </c>
      <c r="E20" s="9"/>
      <c r="F20" s="9"/>
      <c r="G20" s="9">
        <v>32.5</v>
      </c>
      <c r="H20" s="9"/>
      <c r="I20" s="9"/>
      <c r="J20" s="9">
        <v>36.200000000000003</v>
      </c>
      <c r="K20" s="9"/>
      <c r="L20" s="9"/>
      <c r="M20" s="9">
        <v>35.700000000000003</v>
      </c>
      <c r="N20" s="9"/>
      <c r="O20" s="9"/>
      <c r="P20" s="9">
        <v>34.5</v>
      </c>
      <c r="Q20" s="9"/>
      <c r="R20" s="9"/>
      <c r="S20" s="9">
        <v>39.5</v>
      </c>
      <c r="T20" s="9"/>
      <c r="U20" s="9"/>
      <c r="V20" s="9">
        <v>40</v>
      </c>
      <c r="W20" s="9"/>
      <c r="X20" s="9"/>
      <c r="Y20" s="9">
        <v>43.5</v>
      </c>
      <c r="Z20" s="9"/>
      <c r="AA20" s="9"/>
      <c r="AB20" s="9">
        <v>36.9</v>
      </c>
      <c r="AC20" s="9"/>
      <c r="AD20" s="9"/>
      <c r="AE20" s="9">
        <v>44.6</v>
      </c>
      <c r="AF20" s="9"/>
      <c r="AG20" s="9"/>
      <c r="AL20" s="20"/>
      <c r="AX20" s="22"/>
      <c r="AY20" s="23"/>
      <c r="BB20" s="22"/>
      <c r="BC20" s="23"/>
    </row>
    <row r="21" spans="1:55" x14ac:dyDescent="0.4">
      <c r="A21" s="9" t="s">
        <v>31</v>
      </c>
      <c r="B21" s="9" t="s">
        <v>9</v>
      </c>
      <c r="C21" s="9" t="s">
        <v>6</v>
      </c>
      <c r="D21" s="9">
        <v>21.3</v>
      </c>
      <c r="E21" s="9"/>
      <c r="F21" s="9"/>
      <c r="G21" s="9">
        <v>23.3</v>
      </c>
      <c r="H21" s="9"/>
      <c r="I21" s="9"/>
      <c r="J21" s="9">
        <v>25.2</v>
      </c>
      <c r="K21" s="9"/>
      <c r="L21" s="9"/>
      <c r="M21" s="9">
        <v>23.3</v>
      </c>
      <c r="N21" s="9"/>
      <c r="O21" s="9"/>
      <c r="P21" s="9">
        <v>22.8</v>
      </c>
      <c r="Q21" s="9"/>
      <c r="R21" s="9"/>
      <c r="S21" s="9">
        <v>25</v>
      </c>
      <c r="T21" s="9"/>
      <c r="U21" s="9"/>
      <c r="V21" s="9">
        <v>24.2</v>
      </c>
      <c r="W21" s="9"/>
      <c r="X21" s="9"/>
      <c r="Y21" s="9">
        <v>25.9</v>
      </c>
      <c r="Z21" s="9"/>
      <c r="AA21" s="9"/>
      <c r="AB21" s="9">
        <v>22.7</v>
      </c>
      <c r="AC21" s="9"/>
      <c r="AD21" s="9"/>
      <c r="AE21" s="9">
        <v>25</v>
      </c>
      <c r="AF21" s="9"/>
      <c r="AG21" s="9"/>
      <c r="AL21" s="20"/>
      <c r="AX21" s="22"/>
      <c r="AY21" s="23"/>
      <c r="BB21" s="22"/>
      <c r="BC21" s="23"/>
    </row>
    <row r="22" spans="1:55" x14ac:dyDescent="0.4">
      <c r="A22" s="9" t="s">
        <v>32</v>
      </c>
      <c r="B22" s="9" t="s">
        <v>9</v>
      </c>
      <c r="C22" s="9" t="s">
        <v>6</v>
      </c>
      <c r="D22" s="9">
        <v>68.3</v>
      </c>
      <c r="E22" s="9"/>
      <c r="F22" s="9"/>
      <c r="G22" s="9">
        <v>76</v>
      </c>
      <c r="H22" s="9"/>
      <c r="I22" s="9"/>
      <c r="J22" s="9">
        <v>82.7</v>
      </c>
      <c r="K22" s="9"/>
      <c r="L22" s="9"/>
      <c r="M22" s="9">
        <v>75.8</v>
      </c>
      <c r="N22" s="9"/>
      <c r="O22" s="9"/>
      <c r="P22" s="9">
        <v>71.5</v>
      </c>
      <c r="Q22" s="9"/>
      <c r="R22" s="9"/>
      <c r="S22" s="9">
        <v>79.2</v>
      </c>
      <c r="T22" s="9"/>
      <c r="U22" s="9"/>
      <c r="V22" s="9">
        <v>75.2</v>
      </c>
      <c r="W22" s="9"/>
      <c r="X22" s="9"/>
      <c r="Y22" s="9">
        <v>78.7</v>
      </c>
      <c r="Z22" s="9"/>
      <c r="AA22" s="9"/>
      <c r="AB22" s="9">
        <v>64.599999999999994</v>
      </c>
      <c r="AC22" s="9"/>
      <c r="AD22" s="9"/>
      <c r="AE22" s="9">
        <v>70.7</v>
      </c>
      <c r="AF22" s="9"/>
      <c r="AG22" s="9"/>
      <c r="AL22" s="20"/>
      <c r="AX22" s="22"/>
      <c r="AY22" s="23"/>
      <c r="BB22" s="22"/>
      <c r="BC22" s="23"/>
    </row>
    <row r="23" spans="1:55" x14ac:dyDescent="0.4">
      <c r="A23" s="9" t="s">
        <v>33</v>
      </c>
      <c r="B23" s="9" t="s">
        <v>9</v>
      </c>
      <c r="C23" s="9" t="s">
        <v>6</v>
      </c>
      <c r="D23" s="9">
        <v>7.4</v>
      </c>
      <c r="E23" s="9"/>
      <c r="F23" s="9"/>
      <c r="G23" s="9">
        <v>8.3000000000000007</v>
      </c>
      <c r="H23" s="9"/>
      <c r="I23" s="9"/>
      <c r="J23" s="9">
        <v>9.1999999999999993</v>
      </c>
      <c r="K23" s="9"/>
      <c r="L23" s="9"/>
      <c r="M23" s="9">
        <v>8.6</v>
      </c>
      <c r="N23" s="9"/>
      <c r="O23" s="9"/>
      <c r="P23" s="9">
        <v>7.6</v>
      </c>
      <c r="Q23" s="9"/>
      <c r="R23" s="9"/>
      <c r="S23" s="9">
        <v>8.6</v>
      </c>
      <c r="T23" s="9"/>
      <c r="U23" s="9"/>
      <c r="V23" s="9">
        <v>8.3000000000000007</v>
      </c>
      <c r="W23" s="9"/>
      <c r="X23" s="9"/>
      <c r="Y23" s="9">
        <v>8.5</v>
      </c>
      <c r="Z23" s="9"/>
      <c r="AA23" s="9"/>
      <c r="AB23" s="9">
        <v>7.2</v>
      </c>
      <c r="AC23" s="9"/>
      <c r="AD23" s="9"/>
      <c r="AE23" s="9">
        <v>8.6999999999999993</v>
      </c>
      <c r="AF23" s="9"/>
      <c r="AG23" s="9"/>
      <c r="AL23" s="20"/>
      <c r="AX23" s="22"/>
      <c r="AY23" s="23"/>
      <c r="BB23" s="22"/>
      <c r="BC23" s="23"/>
    </row>
    <row r="24" spans="1:55" x14ac:dyDescent="0.4">
      <c r="A24" s="9" t="s">
        <v>34</v>
      </c>
      <c r="B24" s="9" t="s">
        <v>9</v>
      </c>
      <c r="C24" s="9" t="s">
        <v>6</v>
      </c>
      <c r="D24" s="9">
        <v>36.4</v>
      </c>
      <c r="E24" s="9"/>
      <c r="F24" s="9"/>
      <c r="G24" s="9">
        <v>41.6</v>
      </c>
      <c r="H24" s="9"/>
      <c r="I24" s="9"/>
      <c r="J24" s="9">
        <v>45</v>
      </c>
      <c r="K24" s="9"/>
      <c r="L24" s="9"/>
      <c r="M24" s="9">
        <v>42.8</v>
      </c>
      <c r="N24" s="9"/>
      <c r="O24" s="9"/>
      <c r="P24" s="9">
        <v>38.9</v>
      </c>
      <c r="Q24" s="9"/>
      <c r="R24" s="9"/>
      <c r="S24" s="9">
        <v>43.9</v>
      </c>
      <c r="T24" s="9"/>
      <c r="U24" s="9"/>
      <c r="V24" s="9">
        <v>42.7</v>
      </c>
      <c r="W24" s="9"/>
      <c r="X24" s="9"/>
      <c r="Y24" s="9">
        <v>43.9</v>
      </c>
      <c r="Z24" s="9"/>
      <c r="AA24" s="9"/>
      <c r="AB24" s="9">
        <v>37.4</v>
      </c>
      <c r="AC24" s="9"/>
      <c r="AD24" s="9"/>
      <c r="AE24" s="9">
        <v>44.6</v>
      </c>
      <c r="AF24" s="9"/>
      <c r="AG24" s="9"/>
      <c r="AL24" s="20"/>
      <c r="AX24" s="22"/>
      <c r="AY24" s="23"/>
      <c r="BB24" s="22"/>
      <c r="BC24" s="23"/>
    </row>
    <row r="25" spans="1:55" x14ac:dyDescent="0.4">
      <c r="A25" s="9" t="s">
        <v>35</v>
      </c>
      <c r="B25" s="9" t="s">
        <v>9</v>
      </c>
      <c r="C25" s="9" t="s">
        <v>6</v>
      </c>
      <c r="D25" s="9">
        <v>16.3</v>
      </c>
      <c r="E25" s="9"/>
      <c r="F25" s="9"/>
      <c r="G25" s="9">
        <v>18.100000000000001</v>
      </c>
      <c r="H25" s="9"/>
      <c r="I25" s="9"/>
      <c r="J25" s="9">
        <v>20.3</v>
      </c>
      <c r="K25" s="9"/>
      <c r="L25" s="9"/>
      <c r="M25" s="9">
        <v>20.6</v>
      </c>
      <c r="N25" s="9"/>
      <c r="O25" s="9"/>
      <c r="P25" s="9">
        <v>19</v>
      </c>
      <c r="Q25" s="9"/>
      <c r="R25" s="9"/>
      <c r="S25" s="9">
        <v>21.3</v>
      </c>
      <c r="T25" s="9"/>
      <c r="U25" s="9"/>
      <c r="V25" s="9">
        <v>21.4</v>
      </c>
      <c r="W25" s="9"/>
      <c r="X25" s="9"/>
      <c r="Y25" s="9">
        <v>24.4</v>
      </c>
      <c r="Z25" s="9"/>
      <c r="AA25" s="9"/>
      <c r="AB25" s="9">
        <v>23.5</v>
      </c>
      <c r="AC25" s="9"/>
      <c r="AD25" s="9"/>
      <c r="AE25" s="9">
        <v>27.6</v>
      </c>
      <c r="AF25" s="9"/>
      <c r="AG25" s="9"/>
      <c r="AL25" s="20"/>
      <c r="AX25" s="22"/>
      <c r="AY25" s="23"/>
      <c r="BB25" s="22"/>
      <c r="BC25" s="23"/>
    </row>
    <row r="26" spans="1:55" x14ac:dyDescent="0.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L26" s="20"/>
      <c r="AX26" s="22"/>
      <c r="AY26" s="23"/>
      <c r="BB26" s="22"/>
      <c r="BC26" s="23"/>
    </row>
    <row r="27" spans="1:55" x14ac:dyDescent="0.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L27" s="20"/>
      <c r="AX27" s="22"/>
      <c r="AY27" s="23"/>
      <c r="BB27" s="22"/>
      <c r="BC27" s="23"/>
    </row>
    <row r="28" spans="1:55" x14ac:dyDescent="0.4">
      <c r="A28" s="9" t="s">
        <v>38</v>
      </c>
      <c r="B28" s="9" t="s">
        <v>10</v>
      </c>
      <c r="C28" s="9" t="s">
        <v>3</v>
      </c>
      <c r="D28" s="9"/>
      <c r="E28" s="24">
        <v>2272963</v>
      </c>
      <c r="F28" s="24">
        <v>2637533</v>
      </c>
      <c r="G28" s="24">
        <v>3132228.0188172162</v>
      </c>
      <c r="H28" s="24">
        <v>3296724</v>
      </c>
      <c r="I28" s="24">
        <v>2847505</v>
      </c>
      <c r="J28" s="24">
        <v>2740058</v>
      </c>
      <c r="K28" s="24">
        <v>2514561.2428491707</v>
      </c>
      <c r="L28" s="24">
        <v>2036474.6669999999</v>
      </c>
      <c r="M28" s="24">
        <v>2325707.4030000004</v>
      </c>
      <c r="N28" s="24">
        <v>2343088.6910000001</v>
      </c>
      <c r="O28" s="24">
        <v>1932713.324</v>
      </c>
      <c r="P28" s="24">
        <v>1982197.419</v>
      </c>
      <c r="Q28" s="25">
        <v>2019167.773</v>
      </c>
      <c r="R28" s="25">
        <v>2490825.3759999997</v>
      </c>
      <c r="S28" s="25">
        <v>2549068.5210000002</v>
      </c>
      <c r="T28" s="25">
        <v>2350248.1570000001</v>
      </c>
      <c r="U28" s="25">
        <v>1951627.96</v>
      </c>
      <c r="V28" s="25">
        <v>2334606.3960000002</v>
      </c>
      <c r="W28" s="25">
        <v>2090448.9449999998</v>
      </c>
      <c r="X28" s="25">
        <v>2144576</v>
      </c>
      <c r="Y28" s="25">
        <v>2234350</v>
      </c>
      <c r="Z28" s="25">
        <v>2572255</v>
      </c>
      <c r="AA28" s="25">
        <v>2590130</v>
      </c>
      <c r="AB28" s="25">
        <v>2556340</v>
      </c>
      <c r="AC28" s="24">
        <v>2880643</v>
      </c>
      <c r="AD28" s="24">
        <v>2892432</v>
      </c>
      <c r="AE28" s="24">
        <v>2981166</v>
      </c>
      <c r="AF28" s="24">
        <v>2996580.3400000003</v>
      </c>
      <c r="AG28" s="24"/>
      <c r="AL28" s="20"/>
      <c r="AX28" s="22"/>
      <c r="AY28" s="23"/>
      <c r="BB28" s="22"/>
      <c r="BC28" s="23"/>
    </row>
    <row r="29" spans="1:55" x14ac:dyDescent="0.4">
      <c r="A29" s="9" t="s">
        <v>37</v>
      </c>
      <c r="B29" s="9" t="s">
        <v>10</v>
      </c>
      <c r="C29" s="9" t="s">
        <v>3</v>
      </c>
      <c r="D29" s="9"/>
      <c r="E29" s="26">
        <v>1357932.3270949388</v>
      </c>
      <c r="F29" s="26">
        <v>1630261.8544206629</v>
      </c>
      <c r="G29" s="26">
        <v>1838293.1729522529</v>
      </c>
      <c r="H29" s="26">
        <v>1674508.1731898158</v>
      </c>
      <c r="I29" s="26">
        <v>1540687.1501122001</v>
      </c>
      <c r="J29" s="26">
        <v>1511742.4247667091</v>
      </c>
      <c r="K29" s="26">
        <v>1738268.914819354</v>
      </c>
      <c r="L29" s="26">
        <v>1318639.9855494727</v>
      </c>
      <c r="M29" s="26">
        <v>1294560.6112123749</v>
      </c>
      <c r="N29" s="26">
        <v>1501553.4415995462</v>
      </c>
      <c r="O29" s="26">
        <v>1192162.1668965709</v>
      </c>
      <c r="P29" s="27">
        <v>1205657.748931166</v>
      </c>
      <c r="Q29" s="25">
        <v>1398999.8261483752</v>
      </c>
      <c r="R29" s="25">
        <v>1585078.5767731899</v>
      </c>
      <c r="S29" s="25">
        <v>1322362.544762616</v>
      </c>
      <c r="T29" s="25">
        <v>1289766.1666263358</v>
      </c>
      <c r="U29" s="25">
        <v>1226016.6376248552</v>
      </c>
      <c r="V29" s="25">
        <v>1416777.217742705</v>
      </c>
      <c r="W29" s="25">
        <v>1614916.7059156599</v>
      </c>
      <c r="X29" s="25">
        <v>1400033.7749318122</v>
      </c>
      <c r="Y29" s="25">
        <v>1497890.0906165121</v>
      </c>
      <c r="Z29" s="25">
        <v>1904631.6837903997</v>
      </c>
      <c r="AA29" s="25">
        <v>2003247.15483942</v>
      </c>
      <c r="AB29" s="28">
        <v>2409865.7148631802</v>
      </c>
      <c r="AC29" s="24">
        <v>1952650</v>
      </c>
      <c r="AD29" s="24">
        <v>1841809</v>
      </c>
      <c r="AE29" s="24">
        <v>1843968</v>
      </c>
      <c r="AF29" s="24">
        <v>1739084.5794713134</v>
      </c>
      <c r="AG29" s="24"/>
      <c r="AL29" s="20"/>
      <c r="AX29" s="22"/>
      <c r="AY29" s="23"/>
      <c r="BB29" s="22"/>
      <c r="BC29" s="23"/>
    </row>
    <row r="30" spans="1:55" x14ac:dyDescent="0.4">
      <c r="A30" s="29" t="s">
        <v>36</v>
      </c>
      <c r="B30" s="29" t="s">
        <v>10</v>
      </c>
      <c r="C30" s="29" t="s">
        <v>3</v>
      </c>
      <c r="D30" s="29"/>
      <c r="E30" s="30">
        <f>E28+E29</f>
        <v>3630895.3270949386</v>
      </c>
      <c r="F30" s="30">
        <f t="shared" ref="F30:AF30" si="3">F28+F29</f>
        <v>4267794.8544206629</v>
      </c>
      <c r="G30" s="30">
        <f t="shared" si="3"/>
        <v>4970521.1917694695</v>
      </c>
      <c r="H30" s="30">
        <f t="shared" si="3"/>
        <v>4971232.1731898161</v>
      </c>
      <c r="I30" s="30">
        <f t="shared" si="3"/>
        <v>4388192.1501122005</v>
      </c>
      <c r="J30" s="30">
        <f t="shared" si="3"/>
        <v>4251800.4247667091</v>
      </c>
      <c r="K30" s="30">
        <f t="shared" si="3"/>
        <v>4252830.1576685244</v>
      </c>
      <c r="L30" s="30">
        <f t="shared" si="3"/>
        <v>3355114.6525494726</v>
      </c>
      <c r="M30" s="30">
        <f t="shared" si="3"/>
        <v>3620268.0142123755</v>
      </c>
      <c r="N30" s="30">
        <f t="shared" si="3"/>
        <v>3844642.1325995466</v>
      </c>
      <c r="O30" s="30">
        <f t="shared" si="3"/>
        <v>3124875.490896571</v>
      </c>
      <c r="P30" s="30">
        <f t="shared" si="3"/>
        <v>3187855.167931166</v>
      </c>
      <c r="Q30" s="30">
        <f t="shared" si="3"/>
        <v>3418167.599148375</v>
      </c>
      <c r="R30" s="30">
        <f t="shared" si="3"/>
        <v>4075903.9527731896</v>
      </c>
      <c r="S30" s="30">
        <f t="shared" si="3"/>
        <v>3871431.0657626162</v>
      </c>
      <c r="T30" s="30">
        <f t="shared" si="3"/>
        <v>3640014.3236263357</v>
      </c>
      <c r="U30" s="30">
        <f t="shared" si="3"/>
        <v>3177644.5976248551</v>
      </c>
      <c r="V30" s="30">
        <f t="shared" si="3"/>
        <v>3751383.6137427054</v>
      </c>
      <c r="W30" s="30">
        <f t="shared" si="3"/>
        <v>3705365.65091566</v>
      </c>
      <c r="X30" s="30">
        <f t="shared" si="3"/>
        <v>3544609.7749318122</v>
      </c>
      <c r="Y30" s="30">
        <f t="shared" si="3"/>
        <v>3732240.0906165121</v>
      </c>
      <c r="Z30" s="30">
        <f t="shared" si="3"/>
        <v>4476886.6837903997</v>
      </c>
      <c r="AA30" s="30">
        <f t="shared" si="3"/>
        <v>4593377.1548394198</v>
      </c>
      <c r="AB30" s="30">
        <f>AB28+AB29</f>
        <v>4966205.7148631802</v>
      </c>
      <c r="AC30" s="30">
        <f t="shared" si="3"/>
        <v>4833293</v>
      </c>
      <c r="AD30" s="30">
        <f t="shared" si="3"/>
        <v>4734241</v>
      </c>
      <c r="AE30" s="30">
        <f t="shared" si="3"/>
        <v>4825134</v>
      </c>
      <c r="AF30" s="30">
        <f t="shared" si="3"/>
        <v>4735664.9194713142</v>
      </c>
      <c r="AG30" s="30"/>
      <c r="AL30" s="20"/>
      <c r="AX30" s="22"/>
      <c r="AY30" s="23"/>
      <c r="BB30" s="22"/>
      <c r="BC30" s="23"/>
    </row>
    <row r="31" spans="1:55" x14ac:dyDescent="0.4">
      <c r="A31" s="9" t="s">
        <v>26</v>
      </c>
      <c r="B31" s="9" t="s">
        <v>10</v>
      </c>
      <c r="C31" s="9" t="s">
        <v>3</v>
      </c>
      <c r="D31" s="9"/>
      <c r="E31" s="24">
        <v>890509321</v>
      </c>
      <c r="F31" s="24">
        <v>950404475</v>
      </c>
      <c r="G31" s="24">
        <v>944813412.55429995</v>
      </c>
      <c r="H31" s="24">
        <v>1092333547</v>
      </c>
      <c r="I31" s="24">
        <v>1052876552</v>
      </c>
      <c r="J31" s="24">
        <v>1128239527</v>
      </c>
      <c r="K31" s="24">
        <v>1140994475.2143948</v>
      </c>
      <c r="L31" s="24">
        <v>839854185.95899999</v>
      </c>
      <c r="M31" s="24">
        <v>620697947.66399992</v>
      </c>
      <c r="N31" s="24">
        <v>686399482.14300001</v>
      </c>
      <c r="O31" s="24">
        <v>575186206.34600008</v>
      </c>
      <c r="P31" s="24">
        <v>669306034.33000004</v>
      </c>
      <c r="Q31" s="25">
        <v>699589875.278</v>
      </c>
      <c r="R31" s="25">
        <v>731050390.09800005</v>
      </c>
      <c r="S31" s="25">
        <v>726271573.23600006</v>
      </c>
      <c r="T31" s="25">
        <v>876552192.86000001</v>
      </c>
      <c r="U31" s="25">
        <v>810095693.10800004</v>
      </c>
      <c r="V31" s="25">
        <v>959402961.35300004</v>
      </c>
      <c r="W31" s="25">
        <v>1063272649.178</v>
      </c>
      <c r="X31" s="25">
        <v>913236138.65999997</v>
      </c>
      <c r="Y31" s="25">
        <v>1038584490.267</v>
      </c>
      <c r="Z31" s="25">
        <v>1184683103.7120001</v>
      </c>
      <c r="AA31" s="25">
        <v>1080225160.8670001</v>
      </c>
      <c r="AB31" s="25">
        <v>981170210</v>
      </c>
      <c r="AC31" s="24">
        <v>971593594</v>
      </c>
      <c r="AD31" s="24">
        <v>2474142294</v>
      </c>
      <c r="AE31" s="24">
        <v>1030149659</v>
      </c>
      <c r="AF31" s="24">
        <v>1023827057.3176408</v>
      </c>
      <c r="AG31" s="24"/>
      <c r="AL31" s="20"/>
      <c r="AX31" s="22"/>
      <c r="AY31" s="23"/>
      <c r="BB31" s="22"/>
      <c r="BC31" s="23"/>
    </row>
    <row r="32" spans="1:55" x14ac:dyDescent="0.4">
      <c r="A32" s="29" t="s">
        <v>25</v>
      </c>
      <c r="B32" s="29" t="s">
        <v>10</v>
      </c>
      <c r="C32" s="29" t="s">
        <v>3</v>
      </c>
      <c r="D32" s="29"/>
      <c r="E32" s="30">
        <f>E31+E28</f>
        <v>892782284</v>
      </c>
      <c r="F32" s="30">
        <f t="shared" ref="F32:AA32" si="4">F31+F28</f>
        <v>953042008</v>
      </c>
      <c r="G32" s="30">
        <f t="shared" si="4"/>
        <v>947945640.57311714</v>
      </c>
      <c r="H32" s="30">
        <f t="shared" si="4"/>
        <v>1095630271</v>
      </c>
      <c r="I32" s="30">
        <f t="shared" si="4"/>
        <v>1055724057</v>
      </c>
      <c r="J32" s="30">
        <f t="shared" si="4"/>
        <v>1130979585</v>
      </c>
      <c r="K32" s="30">
        <f t="shared" si="4"/>
        <v>1143509036.4572439</v>
      </c>
      <c r="L32" s="30">
        <f t="shared" si="4"/>
        <v>841890660.62600005</v>
      </c>
      <c r="M32" s="30">
        <f t="shared" si="4"/>
        <v>623023655.06699991</v>
      </c>
      <c r="N32" s="30">
        <f t="shared" si="4"/>
        <v>688742570.83399999</v>
      </c>
      <c r="O32" s="30">
        <f t="shared" si="4"/>
        <v>577118919.67000008</v>
      </c>
      <c r="P32" s="30">
        <f t="shared" si="4"/>
        <v>671288231.74900007</v>
      </c>
      <c r="Q32" s="30">
        <f t="shared" si="4"/>
        <v>701609043.051</v>
      </c>
      <c r="R32" s="30">
        <f t="shared" si="4"/>
        <v>733541215.4740001</v>
      </c>
      <c r="S32" s="30">
        <f t="shared" si="4"/>
        <v>728820641.75700009</v>
      </c>
      <c r="T32" s="30">
        <f t="shared" si="4"/>
        <v>878902441.01699996</v>
      </c>
      <c r="U32" s="30">
        <f t="shared" si="4"/>
        <v>812047321.06800008</v>
      </c>
      <c r="V32" s="30">
        <f t="shared" si="4"/>
        <v>961737567.74900007</v>
      </c>
      <c r="W32" s="30">
        <f t="shared" si="4"/>
        <v>1065363098.123</v>
      </c>
      <c r="X32" s="30">
        <f t="shared" si="4"/>
        <v>915380714.65999997</v>
      </c>
      <c r="Y32" s="30">
        <f t="shared" si="4"/>
        <v>1040818840.267</v>
      </c>
      <c r="Z32" s="30">
        <f t="shared" si="4"/>
        <v>1187255358.7120001</v>
      </c>
      <c r="AA32" s="30">
        <f t="shared" si="4"/>
        <v>1082815290.8670001</v>
      </c>
      <c r="AB32" s="30">
        <f>AB31+AB28</f>
        <v>983726550</v>
      </c>
      <c r="AC32" s="30">
        <f t="shared" ref="AC32:AF32" si="5">AC31+AC28</f>
        <v>974474237</v>
      </c>
      <c r="AD32" s="30">
        <f t="shared" si="5"/>
        <v>2477034726</v>
      </c>
      <c r="AE32" s="30">
        <f t="shared" si="5"/>
        <v>1033130825</v>
      </c>
      <c r="AF32" s="30">
        <f t="shared" si="5"/>
        <v>1026823637.6576408</v>
      </c>
      <c r="AG32" s="30"/>
      <c r="AL32" s="20"/>
      <c r="AX32" s="22"/>
      <c r="AY32" s="23"/>
      <c r="BB32" s="22"/>
      <c r="BC32" s="23"/>
    </row>
    <row r="33" spans="1:55" x14ac:dyDescent="0.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L33" s="20"/>
      <c r="AX33" s="22"/>
      <c r="AY33" s="23"/>
      <c r="BB33" s="22"/>
      <c r="BC33" s="23"/>
    </row>
    <row r="34" spans="1:55" ht="30" x14ac:dyDescent="0.4">
      <c r="A34" s="9" t="s">
        <v>22</v>
      </c>
      <c r="B34" s="9"/>
      <c r="C34" s="31" t="s">
        <v>12</v>
      </c>
      <c r="D34" s="31"/>
      <c r="E34" s="24">
        <v>2972</v>
      </c>
      <c r="F34" s="24">
        <v>2965</v>
      </c>
      <c r="G34" s="24">
        <v>2945</v>
      </c>
      <c r="H34" s="24">
        <v>2950</v>
      </c>
      <c r="I34" s="24">
        <v>3391</v>
      </c>
      <c r="J34" s="24">
        <v>3374</v>
      </c>
      <c r="K34" s="24">
        <v>3075</v>
      </c>
      <c r="L34" s="24">
        <v>3094</v>
      </c>
      <c r="M34" s="24">
        <v>3670</v>
      </c>
      <c r="N34" s="24">
        <v>3445</v>
      </c>
      <c r="O34" s="24">
        <v>3259</v>
      </c>
      <c r="P34" s="24">
        <v>2993</v>
      </c>
      <c r="Q34" s="24">
        <v>2905</v>
      </c>
      <c r="R34" s="24">
        <v>3096</v>
      </c>
      <c r="S34" s="24">
        <v>3258</v>
      </c>
      <c r="T34" s="24">
        <v>3829</v>
      </c>
      <c r="U34" s="24">
        <v>4285</v>
      </c>
      <c r="V34" s="24">
        <v>4588</v>
      </c>
      <c r="W34" s="24">
        <v>3234</v>
      </c>
      <c r="X34" s="24">
        <v>3409</v>
      </c>
      <c r="Y34" s="24">
        <v>3535</v>
      </c>
      <c r="Z34" s="24">
        <v>3845</v>
      </c>
      <c r="AA34" s="24">
        <v>3896</v>
      </c>
      <c r="AB34" s="24">
        <v>3865</v>
      </c>
      <c r="AC34" s="24">
        <v>4142</v>
      </c>
      <c r="AD34" s="34">
        <v>0</v>
      </c>
      <c r="AE34" s="24">
        <v>5700</v>
      </c>
      <c r="AF34" s="24">
        <v>6070</v>
      </c>
      <c r="AG34" s="24"/>
      <c r="AL34" s="20"/>
      <c r="AX34" s="22"/>
      <c r="AY34" s="23"/>
      <c r="BB34" s="22"/>
      <c r="BC34" s="23"/>
    </row>
    <row r="35" spans="1:55" ht="14.5" customHeight="1" x14ac:dyDescent="0.4">
      <c r="A35" s="9" t="s">
        <v>20</v>
      </c>
      <c r="B35" s="9"/>
      <c r="C35" s="32" t="s">
        <v>11</v>
      </c>
      <c r="D35" s="31"/>
      <c r="E35" s="24">
        <f>6400000/100</f>
        <v>64000</v>
      </c>
      <c r="F35" s="24">
        <f>(6600000)/100</f>
        <v>66000</v>
      </c>
      <c r="G35" s="24">
        <v>70593.33</v>
      </c>
      <c r="H35" s="24">
        <v>74000</v>
      </c>
      <c r="I35" s="24">
        <v>69000</v>
      </c>
      <c r="J35" s="24">
        <v>82000</v>
      </c>
      <c r="K35" s="24">
        <v>76000</v>
      </c>
      <c r="L35" s="24">
        <v>77000</v>
      </c>
      <c r="M35" s="24">
        <v>82000</v>
      </c>
      <c r="N35" s="24">
        <v>78000</v>
      </c>
      <c r="O35" s="24">
        <v>71000</v>
      </c>
      <c r="P35" s="24">
        <v>68069.53</v>
      </c>
      <c r="Q35" s="24">
        <v>69000</v>
      </c>
      <c r="R35" s="24">
        <v>79000</v>
      </c>
      <c r="S35" s="24">
        <v>84000</v>
      </c>
      <c r="T35" s="24">
        <v>91000</v>
      </c>
      <c r="U35" s="24">
        <v>93000</v>
      </c>
      <c r="V35" s="24">
        <v>99000</v>
      </c>
      <c r="W35" s="24">
        <v>109000</v>
      </c>
      <c r="X35" s="24">
        <v>112000</v>
      </c>
      <c r="Y35" s="24">
        <v>113000</v>
      </c>
      <c r="Z35" s="24">
        <v>117000</v>
      </c>
      <c r="AA35" s="24">
        <v>115000</v>
      </c>
      <c r="AB35" s="24">
        <v>109000</v>
      </c>
      <c r="AC35" s="24">
        <v>116000</v>
      </c>
      <c r="AD35" s="33">
        <v>0</v>
      </c>
      <c r="AE35" s="24">
        <v>135044</v>
      </c>
      <c r="AF35" s="24">
        <v>136592</v>
      </c>
      <c r="AG35" s="24"/>
      <c r="AL35" s="20"/>
      <c r="AX35" s="22"/>
      <c r="AY35" s="23"/>
      <c r="BB35" s="22"/>
      <c r="BC35" s="23"/>
    </row>
    <row r="36" spans="1:55" x14ac:dyDescent="0.4">
      <c r="A36" s="29" t="s">
        <v>23</v>
      </c>
      <c r="B36" s="29"/>
      <c r="C36" s="29"/>
      <c r="D36" s="29"/>
      <c r="E36" s="30">
        <f>E34+E35</f>
        <v>66972</v>
      </c>
      <c r="F36" s="30">
        <f t="shared" ref="F36:AC36" si="6">F34+F35</f>
        <v>68965</v>
      </c>
      <c r="G36" s="30">
        <f t="shared" si="6"/>
        <v>73538.33</v>
      </c>
      <c r="H36" s="30">
        <f t="shared" si="6"/>
        <v>76950</v>
      </c>
      <c r="I36" s="30">
        <f t="shared" si="6"/>
        <v>72391</v>
      </c>
      <c r="J36" s="30">
        <f t="shared" si="6"/>
        <v>85374</v>
      </c>
      <c r="K36" s="30">
        <f t="shared" si="6"/>
        <v>79075</v>
      </c>
      <c r="L36" s="30">
        <f t="shared" si="6"/>
        <v>80094</v>
      </c>
      <c r="M36" s="30">
        <f t="shared" si="6"/>
        <v>85670</v>
      </c>
      <c r="N36" s="30">
        <f t="shared" si="6"/>
        <v>81445</v>
      </c>
      <c r="O36" s="30">
        <f t="shared" si="6"/>
        <v>74259</v>
      </c>
      <c r="P36" s="30">
        <f t="shared" si="6"/>
        <v>71062.53</v>
      </c>
      <c r="Q36" s="30">
        <f t="shared" si="6"/>
        <v>71905</v>
      </c>
      <c r="R36" s="30">
        <f t="shared" si="6"/>
        <v>82096</v>
      </c>
      <c r="S36" s="30">
        <f t="shared" si="6"/>
        <v>87258</v>
      </c>
      <c r="T36" s="30">
        <f t="shared" si="6"/>
        <v>94829</v>
      </c>
      <c r="U36" s="30">
        <f t="shared" si="6"/>
        <v>97285</v>
      </c>
      <c r="V36" s="30">
        <f t="shared" si="6"/>
        <v>103588</v>
      </c>
      <c r="W36" s="30">
        <f t="shared" si="6"/>
        <v>112234</v>
      </c>
      <c r="X36" s="30">
        <f t="shared" si="6"/>
        <v>115409</v>
      </c>
      <c r="Y36" s="30">
        <f t="shared" si="6"/>
        <v>116535</v>
      </c>
      <c r="Z36" s="30">
        <f t="shared" si="6"/>
        <v>120845</v>
      </c>
      <c r="AA36" s="30">
        <f t="shared" si="6"/>
        <v>118896</v>
      </c>
      <c r="AB36" s="30">
        <f t="shared" si="6"/>
        <v>112865</v>
      </c>
      <c r="AC36" s="30">
        <f t="shared" si="6"/>
        <v>120142</v>
      </c>
      <c r="AD36" s="33">
        <f>SUM(AD34:AD35)</f>
        <v>0</v>
      </c>
      <c r="AE36" s="29">
        <f t="shared" ref="AE36" si="7">SUM(AE34:AE35)</f>
        <v>140744</v>
      </c>
      <c r="AF36" s="29">
        <f>SUM(AF34:AF35)</f>
        <v>142662</v>
      </c>
      <c r="AG36" s="29">
        <f>SUM(AG34:AG35)</f>
        <v>0</v>
      </c>
      <c r="AX36" s="22"/>
      <c r="AY36" s="23"/>
      <c r="BB36" s="22"/>
      <c r="BC36" s="23"/>
    </row>
    <row r="37" spans="1:55" x14ac:dyDescent="0.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X37" s="22"/>
      <c r="AY37" s="23"/>
      <c r="BB37" s="22"/>
      <c r="BC37" s="23"/>
    </row>
    <row r="38" spans="1:55" x14ac:dyDescent="0.4">
      <c r="A38" s="9" t="s">
        <v>40</v>
      </c>
      <c r="B38" s="9" t="s">
        <v>21</v>
      </c>
      <c r="C38" s="9"/>
      <c r="D38" s="9"/>
      <c r="E38" s="9"/>
      <c r="F38" s="9"/>
      <c r="G38" s="24">
        <v>136631</v>
      </c>
      <c r="H38" s="24">
        <v>134670</v>
      </c>
      <c r="I38" s="24">
        <v>114007</v>
      </c>
      <c r="J38" s="24">
        <v>108586</v>
      </c>
      <c r="K38" s="24">
        <v>42300</v>
      </c>
      <c r="L38" s="24">
        <v>85746</v>
      </c>
      <c r="M38" s="24">
        <v>93697</v>
      </c>
      <c r="N38" s="24">
        <v>82127</v>
      </c>
      <c r="O38" s="24">
        <v>73217</v>
      </c>
      <c r="P38" s="24">
        <v>80877</v>
      </c>
      <c r="Q38" s="24">
        <v>82944</v>
      </c>
      <c r="R38" s="24">
        <v>99607</v>
      </c>
      <c r="S38" s="24">
        <v>98730</v>
      </c>
      <c r="T38" s="24">
        <v>82448</v>
      </c>
      <c r="U38" s="24">
        <v>74977</v>
      </c>
      <c r="V38" s="24">
        <v>82413</v>
      </c>
      <c r="W38" s="24">
        <v>83874</v>
      </c>
      <c r="X38" s="24">
        <v>83369</v>
      </c>
      <c r="Y38" s="24">
        <v>78616</v>
      </c>
      <c r="Z38" s="24">
        <v>94793</v>
      </c>
      <c r="AA38" s="9"/>
      <c r="AB38" s="9"/>
      <c r="AC38" s="9"/>
      <c r="AD38" s="9"/>
      <c r="AE38" s="9"/>
      <c r="AF38" s="9"/>
      <c r="AG38" s="9"/>
      <c r="AX38" s="22"/>
      <c r="AY38" s="23"/>
      <c r="BB38" s="22"/>
      <c r="BC38" s="23"/>
    </row>
    <row r="39" spans="1:55" x14ac:dyDescent="0.4">
      <c r="A39" s="9" t="s">
        <v>41</v>
      </c>
      <c r="B39" s="9" t="s">
        <v>21</v>
      </c>
      <c r="C39" s="9"/>
      <c r="D39" s="9"/>
      <c r="E39" s="9"/>
      <c r="F39" s="9"/>
      <c r="G39" s="24">
        <v>165637</v>
      </c>
      <c r="H39" s="24">
        <v>141439</v>
      </c>
      <c r="I39" s="24">
        <v>127179</v>
      </c>
      <c r="J39" s="24">
        <v>122984</v>
      </c>
      <c r="K39" s="24">
        <v>119563</v>
      </c>
      <c r="L39" s="24">
        <v>106108</v>
      </c>
      <c r="M39" s="24">
        <v>96370</v>
      </c>
      <c r="N39" s="24">
        <v>94560</v>
      </c>
      <c r="O39" s="24">
        <v>89340</v>
      </c>
      <c r="P39" s="24">
        <v>89828</v>
      </c>
      <c r="Q39" s="24">
        <v>103801</v>
      </c>
      <c r="R39" s="24">
        <v>101867</v>
      </c>
      <c r="S39" s="24">
        <v>95742</v>
      </c>
      <c r="T39" s="24">
        <v>82337</v>
      </c>
      <c r="U39" s="24">
        <v>82079</v>
      </c>
      <c r="V39" s="24">
        <v>80410</v>
      </c>
      <c r="W39" s="24">
        <v>92865</v>
      </c>
      <c r="X39" s="24">
        <v>93662</v>
      </c>
      <c r="Y39" s="24">
        <v>81644</v>
      </c>
      <c r="Z39" s="24">
        <v>99972</v>
      </c>
      <c r="AA39" s="9"/>
      <c r="AB39" s="9"/>
      <c r="AC39" s="9"/>
      <c r="AD39" s="9"/>
      <c r="AE39" s="9"/>
      <c r="AF39" s="9"/>
      <c r="AG39" s="9"/>
    </row>
    <row r="40" spans="1:55" x14ac:dyDescent="0.4">
      <c r="A40" s="9" t="s">
        <v>42</v>
      </c>
      <c r="B40" s="9" t="s">
        <v>21</v>
      </c>
      <c r="C40" s="9"/>
      <c r="D40" s="9"/>
      <c r="E40" s="9"/>
      <c r="F40" s="9"/>
      <c r="G40" s="24">
        <v>72110</v>
      </c>
      <c r="H40" s="24">
        <v>56793</v>
      </c>
      <c r="I40" s="24">
        <v>55542</v>
      </c>
      <c r="J40" s="24">
        <v>52304</v>
      </c>
      <c r="K40" s="24">
        <v>61022</v>
      </c>
      <c r="L40" s="24">
        <v>49657</v>
      </c>
      <c r="M40" s="24">
        <v>43117</v>
      </c>
      <c r="N40" s="24">
        <v>43189</v>
      </c>
      <c r="O40" s="24">
        <v>38618</v>
      </c>
      <c r="P40" s="24">
        <v>41255</v>
      </c>
      <c r="Q40" s="24">
        <v>44761</v>
      </c>
      <c r="R40" s="24">
        <v>47412</v>
      </c>
      <c r="S40" s="24">
        <v>39614</v>
      </c>
      <c r="T40" s="24">
        <v>36830</v>
      </c>
      <c r="U40" s="24">
        <v>40506</v>
      </c>
      <c r="V40" s="24">
        <v>42026</v>
      </c>
      <c r="W40" s="24">
        <v>48317</v>
      </c>
      <c r="X40" s="24">
        <v>47832</v>
      </c>
      <c r="Y40" s="24">
        <v>43267</v>
      </c>
      <c r="Z40" s="24">
        <v>55758</v>
      </c>
      <c r="AA40" s="9"/>
      <c r="AB40" s="9"/>
      <c r="AC40" s="9"/>
      <c r="AD40" s="9"/>
      <c r="AE40" s="9"/>
      <c r="AF40" s="9"/>
      <c r="AG40" s="9"/>
    </row>
  </sheetData>
  <hyperlinks>
    <hyperlink ref="C35" r:id="rId1" xr:uid="{41609FAA-7875-49D4-978B-7E271BDBEF67}"/>
    <hyperlink ref="C34" r:id="rId2" xr:uid="{FD528678-08DC-4CAC-AAED-4323ABD301A5}"/>
    <hyperlink ref="A17" r:id="rId3" display="Govt.@ (lakh Crore)" xr:uid="{BFC7A82A-B046-4A36-B0AA-AC6E9017F95E}"/>
  </hyperlinks>
  <pageMargins left="0.7" right="0.7" top="0.75" bottom="0.75" header="0.3" footer="0.3"/>
  <headerFooter>
    <oddFooter>&amp;L_x000D_&amp;1#&amp;"Aptos"&amp;9&amp;K008000 Classification | Internal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E1BA-A938-4026-BEF1-69117B3FC0AD}">
  <dimension ref="A1:AE19"/>
  <sheetViews>
    <sheetView workbookViewId="0">
      <pane xSplit="1" topLeftCell="W1" activePane="topRight" state="frozen"/>
      <selection activeCell="C2" sqref="C2:AG45"/>
      <selection pane="topRight" activeCell="N11" sqref="N11:V11"/>
    </sheetView>
  </sheetViews>
  <sheetFormatPr defaultRowHeight="14.5" x14ac:dyDescent="0.35"/>
  <cols>
    <col min="1" max="1" width="20" bestFit="1" customWidth="1"/>
    <col min="3" max="21" width="10" bestFit="1" customWidth="1"/>
    <col min="22" max="22" width="12" bestFit="1" customWidth="1"/>
    <col min="23" max="23" width="10" bestFit="1" customWidth="1"/>
    <col min="24" max="25" width="12" bestFit="1" customWidth="1"/>
    <col min="26" max="27" width="10" bestFit="1" customWidth="1"/>
    <col min="28" max="28" width="12" bestFit="1" customWidth="1"/>
    <col min="29" max="29" width="11.453125" bestFit="1" customWidth="1"/>
    <col min="30" max="30" width="12" bestFit="1" customWidth="1"/>
    <col min="31" max="31" width="11.453125" bestFit="1" customWidth="1"/>
  </cols>
  <sheetData>
    <row r="1" spans="1:31" ht="15" x14ac:dyDescent="0.4">
      <c r="A1" s="6" t="s">
        <v>272</v>
      </c>
      <c r="B1" s="6" t="s">
        <v>0</v>
      </c>
      <c r="C1" s="7">
        <v>45352</v>
      </c>
      <c r="D1" s="7">
        <v>45383</v>
      </c>
      <c r="E1" s="7">
        <v>45413</v>
      </c>
      <c r="F1" s="7">
        <v>45444</v>
      </c>
      <c r="G1" s="7">
        <v>45474</v>
      </c>
      <c r="H1" s="7">
        <v>45505</v>
      </c>
      <c r="I1" s="7">
        <v>45536</v>
      </c>
      <c r="J1" s="7">
        <v>45566</v>
      </c>
      <c r="K1" s="7">
        <v>45597</v>
      </c>
      <c r="L1" s="7">
        <v>45627</v>
      </c>
      <c r="M1" s="7">
        <v>45658</v>
      </c>
      <c r="N1" s="7">
        <v>45689</v>
      </c>
      <c r="O1" s="7">
        <v>45717</v>
      </c>
      <c r="P1" s="7">
        <v>45748</v>
      </c>
      <c r="Q1" s="7">
        <v>45778</v>
      </c>
      <c r="R1" s="7">
        <v>45809</v>
      </c>
      <c r="S1" s="7">
        <v>45839</v>
      </c>
      <c r="T1" s="7">
        <v>45870</v>
      </c>
      <c r="U1" s="7">
        <v>45901</v>
      </c>
      <c r="V1" s="7">
        <v>45931</v>
      </c>
      <c r="W1" s="7">
        <v>45962</v>
      </c>
      <c r="X1" s="7">
        <v>45992</v>
      </c>
      <c r="Y1" s="7">
        <v>46023</v>
      </c>
      <c r="Z1" s="7">
        <v>46054</v>
      </c>
      <c r="AA1" s="7">
        <v>46082</v>
      </c>
      <c r="AB1" s="7">
        <v>46113</v>
      </c>
      <c r="AC1" s="7">
        <v>46143</v>
      </c>
      <c r="AD1" s="7">
        <v>46174</v>
      </c>
      <c r="AE1" s="7">
        <v>46204</v>
      </c>
    </row>
    <row r="2" spans="1:31" x14ac:dyDescent="0.35">
      <c r="A2" s="35" t="s">
        <v>301</v>
      </c>
      <c r="B2" s="35"/>
      <c r="C2" s="46">
        <v>53.4</v>
      </c>
      <c r="D2" s="46">
        <v>57.25</v>
      </c>
      <c r="E2" s="46">
        <v>58.91</v>
      </c>
      <c r="F2" s="46">
        <v>61.15</v>
      </c>
      <c r="G2" s="46">
        <v>64.959999999999994</v>
      </c>
      <c r="H2" s="46">
        <v>66.7</v>
      </c>
      <c r="I2" s="46">
        <v>68</v>
      </c>
      <c r="J2" s="46">
        <v>68.5</v>
      </c>
      <c r="K2" s="46">
        <v>68.05</v>
      </c>
      <c r="L2" s="46">
        <v>69.33</v>
      </c>
      <c r="M2" s="46">
        <v>68.05</v>
      </c>
      <c r="N2" s="46">
        <v>67.58</v>
      </c>
      <c r="O2" s="46">
        <v>66.7</v>
      </c>
      <c r="P2" s="46">
        <v>69.5</v>
      </c>
      <c r="Q2" s="46">
        <v>72.180000000000007</v>
      </c>
      <c r="R2" s="46">
        <v>74.790000000000006</v>
      </c>
      <c r="S2" s="46">
        <v>77</v>
      </c>
      <c r="T2" s="46">
        <v>76.709999999999994</v>
      </c>
      <c r="U2" s="46">
        <v>77.78</v>
      </c>
      <c r="V2" s="46">
        <v>79.87</v>
      </c>
      <c r="W2" s="46">
        <v>80.8</v>
      </c>
      <c r="X2" s="46">
        <v>80.23</v>
      </c>
      <c r="Y2" s="46">
        <v>81.010000000000005</v>
      </c>
      <c r="Z2" s="46">
        <v>82.03</v>
      </c>
      <c r="AA2" s="46">
        <v>73.73</v>
      </c>
      <c r="AB2" s="46">
        <v>81.92</v>
      </c>
      <c r="AC2" s="46">
        <v>81.58</v>
      </c>
      <c r="AD2" s="46">
        <v>82.22</v>
      </c>
      <c r="AE2" s="46">
        <v>85.75</v>
      </c>
    </row>
    <row r="3" spans="1:31" x14ac:dyDescent="0.35">
      <c r="A3" s="35" t="s">
        <v>302</v>
      </c>
      <c r="B3" s="35"/>
      <c r="C3" s="46">
        <v>23.53</v>
      </c>
      <c r="D3" s="46">
        <v>24.78</v>
      </c>
      <c r="E3" s="46">
        <v>25.43</v>
      </c>
      <c r="F3" s="46">
        <v>27.72</v>
      </c>
      <c r="G3" s="46">
        <v>29.38</v>
      </c>
      <c r="H3" s="46">
        <v>30.13</v>
      </c>
      <c r="I3" s="46">
        <v>31.15</v>
      </c>
      <c r="J3" s="46">
        <v>29.93</v>
      </c>
      <c r="K3" s="46">
        <v>30.4</v>
      </c>
      <c r="L3" s="46">
        <v>30.61</v>
      </c>
      <c r="M3" s="46">
        <v>29.51</v>
      </c>
      <c r="N3" s="46">
        <v>27.43</v>
      </c>
      <c r="O3" s="46">
        <v>29.49</v>
      </c>
      <c r="P3" s="46">
        <v>30.61</v>
      </c>
      <c r="Q3" s="46">
        <v>32.090000000000003</v>
      </c>
      <c r="R3" s="46">
        <v>32.729999999999997</v>
      </c>
      <c r="S3" s="46">
        <v>33.32</v>
      </c>
      <c r="T3" s="46">
        <v>33.119999999999997</v>
      </c>
      <c r="U3" s="46">
        <v>33.72</v>
      </c>
      <c r="V3" s="46">
        <v>35.21</v>
      </c>
      <c r="W3" s="46">
        <v>35.700000000000003</v>
      </c>
      <c r="X3" s="46">
        <v>35.76</v>
      </c>
      <c r="Y3" s="46">
        <v>34.908999999999999</v>
      </c>
      <c r="Z3" s="48">
        <v>35.43</v>
      </c>
      <c r="AA3" s="46">
        <v>32.01</v>
      </c>
      <c r="AB3" s="46">
        <v>25.78</v>
      </c>
      <c r="AC3" s="48">
        <v>36.17</v>
      </c>
      <c r="AD3" s="46">
        <v>37.369999999999997</v>
      </c>
      <c r="AE3" s="46">
        <v>38.4</v>
      </c>
    </row>
    <row r="4" spans="1:31" x14ac:dyDescent="0.35">
      <c r="A4" s="35" t="s">
        <v>295</v>
      </c>
      <c r="B4" s="35"/>
      <c r="C4" s="35">
        <v>1541</v>
      </c>
      <c r="D4" s="35">
        <v>1545</v>
      </c>
      <c r="E4" s="35">
        <v>1552</v>
      </c>
      <c r="F4" s="35">
        <v>1566</v>
      </c>
      <c r="G4" s="35">
        <v>1581</v>
      </c>
      <c r="H4" s="35">
        <v>1599</v>
      </c>
      <c r="I4" s="35">
        <v>1623</v>
      </c>
      <c r="J4" s="35">
        <v>1651</v>
      </c>
      <c r="K4" s="35">
        <v>1666</v>
      </c>
      <c r="L4" s="35">
        <v>1700</v>
      </c>
      <c r="M4" s="35">
        <v>1711</v>
      </c>
      <c r="N4" s="35">
        <v>1739</v>
      </c>
      <c r="O4" s="35">
        <v>1760</v>
      </c>
      <c r="P4" s="35">
        <v>1758</v>
      </c>
      <c r="Q4" s="35">
        <v>1774</v>
      </c>
      <c r="R4" s="35">
        <v>1791</v>
      </c>
      <c r="S4" s="35">
        <v>1819</v>
      </c>
      <c r="T4" s="35">
        <v>1843</v>
      </c>
      <c r="U4" s="35">
        <v>1849</v>
      </c>
      <c r="V4" s="35">
        <v>1865</v>
      </c>
      <c r="W4" s="35">
        <v>1886</v>
      </c>
      <c r="X4" s="35">
        <v>1908</v>
      </c>
      <c r="Y4" s="35">
        <v>1919</v>
      </c>
      <c r="Z4" s="35">
        <v>1937</v>
      </c>
      <c r="AA4" s="35">
        <v>1958</v>
      </c>
      <c r="AB4" s="35">
        <v>1941</v>
      </c>
      <c r="AC4" s="35">
        <v>1946</v>
      </c>
      <c r="AD4" s="35">
        <v>1945</v>
      </c>
      <c r="AE4" s="35">
        <v>1963</v>
      </c>
    </row>
    <row r="5" spans="1:31" x14ac:dyDescent="0.35">
      <c r="A5" s="35" t="s">
        <v>303</v>
      </c>
      <c r="B5" s="35"/>
      <c r="C5" s="46">
        <v>17.78</v>
      </c>
      <c r="D5" s="46">
        <v>18.146000000000001</v>
      </c>
      <c r="E5" s="46">
        <v>18.596</v>
      </c>
      <c r="F5" s="46">
        <v>19.103999999999999</v>
      </c>
      <c r="G5" s="46">
        <v>19.84</v>
      </c>
      <c r="H5" s="46">
        <v>20.452000000000002</v>
      </c>
      <c r="I5" s="46">
        <v>21.050999999999998</v>
      </c>
      <c r="J5" s="46">
        <v>21.65</v>
      </c>
      <c r="K5" s="46">
        <v>22.081</v>
      </c>
      <c r="L5" s="46">
        <v>22.5</v>
      </c>
      <c r="M5" s="46">
        <v>22.91</v>
      </c>
      <c r="N5" s="46">
        <v>23.22</v>
      </c>
      <c r="O5" s="46">
        <v>23.45</v>
      </c>
      <c r="P5" s="46">
        <v>23.63</v>
      </c>
      <c r="Q5" s="46">
        <v>23.83</v>
      </c>
      <c r="R5" s="46">
        <v>24.134</v>
      </c>
      <c r="S5" s="46">
        <v>24.57</v>
      </c>
      <c r="T5" s="46">
        <v>24.89</v>
      </c>
      <c r="U5" s="46">
        <v>25.19</v>
      </c>
      <c r="V5" s="46">
        <v>25.6</v>
      </c>
      <c r="W5" s="46">
        <v>25.86</v>
      </c>
      <c r="X5" s="46">
        <v>26.12</v>
      </c>
      <c r="Y5" s="46">
        <v>26.63</v>
      </c>
      <c r="Z5" s="46">
        <v>27.05</v>
      </c>
      <c r="AA5" s="46">
        <v>27.4</v>
      </c>
      <c r="AB5" s="46">
        <v>27.53</v>
      </c>
      <c r="AC5" s="46">
        <v>27.65</v>
      </c>
      <c r="AD5" s="46">
        <v>27.86</v>
      </c>
      <c r="AE5" s="46">
        <v>28.08</v>
      </c>
    </row>
    <row r="6" spans="1:31" x14ac:dyDescent="0.35">
      <c r="A6" s="35"/>
      <c r="B6" s="35"/>
      <c r="C6" s="35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</row>
    <row r="7" spans="1:31" x14ac:dyDescent="0.35">
      <c r="A7" s="35" t="s">
        <v>296</v>
      </c>
      <c r="B7" s="35"/>
      <c r="C7" s="50" t="s">
        <v>162</v>
      </c>
      <c r="D7" s="91">
        <v>1005.29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89">
        <v>1044.8399999999999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90"/>
      <c r="AB7" s="50">
        <v>1044.26</v>
      </c>
      <c r="AC7" s="50">
        <v>1046.72</v>
      </c>
      <c r="AD7" s="50">
        <v>1051.5899999999999</v>
      </c>
      <c r="AE7" s="50">
        <v>1062.74</v>
      </c>
    </row>
    <row r="8" spans="1:31" x14ac:dyDescent="0.35">
      <c r="A8" s="35" t="s">
        <v>267</v>
      </c>
      <c r="B8" s="35"/>
      <c r="C8" s="50">
        <v>19271</v>
      </c>
      <c r="D8" s="51">
        <v>20371</v>
      </c>
      <c r="E8" s="51">
        <v>20904</v>
      </c>
      <c r="F8" s="51">
        <v>21262</v>
      </c>
      <c r="G8" s="51">
        <v>23332</v>
      </c>
      <c r="H8" s="51">
        <v>23547</v>
      </c>
      <c r="I8" s="51">
        <v>24509</v>
      </c>
      <c r="J8" s="51">
        <v>25323</v>
      </c>
      <c r="K8" s="51">
        <v>25320</v>
      </c>
      <c r="L8" s="51">
        <v>26459</v>
      </c>
      <c r="M8" s="51">
        <v>26400</v>
      </c>
      <c r="N8" s="51">
        <v>25999</v>
      </c>
      <c r="O8" s="51">
        <v>25926</v>
      </c>
      <c r="P8" s="50">
        <v>26632</v>
      </c>
      <c r="Q8" s="50">
        <v>26688</v>
      </c>
      <c r="R8" s="50">
        <v>27269</v>
      </c>
      <c r="S8" s="50">
        <v>28464</v>
      </c>
      <c r="T8" s="50">
        <v>28265</v>
      </c>
      <c r="U8" s="50">
        <v>29361</v>
      </c>
      <c r="V8" s="50">
        <v>29529</v>
      </c>
      <c r="W8" s="50">
        <v>29445</v>
      </c>
      <c r="X8" s="50">
        <v>31002</v>
      </c>
      <c r="Y8" s="50">
        <v>31002</v>
      </c>
      <c r="Z8" s="50">
        <v>29845</v>
      </c>
      <c r="AA8" s="50">
        <v>32087</v>
      </c>
      <c r="AB8" s="50">
        <v>31115</v>
      </c>
      <c r="AC8" s="50">
        <v>30954</v>
      </c>
      <c r="AD8" s="50">
        <v>31781</v>
      </c>
      <c r="AE8" s="50">
        <v>31961</v>
      </c>
    </row>
    <row r="9" spans="1:31" x14ac:dyDescent="0.35">
      <c r="A9" s="35" t="s">
        <v>268</v>
      </c>
      <c r="B9" s="35"/>
      <c r="C9" s="50" t="s">
        <v>162</v>
      </c>
      <c r="D9" s="88">
        <v>1335188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90"/>
      <c r="P9" s="88">
        <v>1510943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90"/>
      <c r="AB9" s="50">
        <v>1685126</v>
      </c>
      <c r="AC9" s="50">
        <v>1712126</v>
      </c>
      <c r="AD9" s="50">
        <v>1770482</v>
      </c>
      <c r="AE9" s="50">
        <v>1819542</v>
      </c>
    </row>
    <row r="10" spans="1:31" x14ac:dyDescent="0.3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pans="1:31" x14ac:dyDescent="0.35">
      <c r="A11" s="35" t="s">
        <v>269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pans="1:31" x14ac:dyDescent="0.3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pans="1:31" x14ac:dyDescent="0.35">
      <c r="A13" s="35" t="s">
        <v>270</v>
      </c>
      <c r="B13" s="35"/>
      <c r="C13" s="73" t="s">
        <v>162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5"/>
      <c r="V13" s="50">
        <v>2010.4352133</v>
      </c>
      <c r="W13" s="50">
        <v>2931.71</v>
      </c>
      <c r="X13" s="50">
        <v>4892.32</v>
      </c>
      <c r="Y13" s="50">
        <v>6564.24</v>
      </c>
      <c r="Z13" s="50">
        <v>9710.8700000000008</v>
      </c>
      <c r="AA13" s="50">
        <v>10620.45</v>
      </c>
      <c r="AB13" s="50">
        <v>12329.05</v>
      </c>
      <c r="AC13" s="50">
        <v>13813.72</v>
      </c>
      <c r="AD13" s="50">
        <v>17857.77</v>
      </c>
      <c r="AE13" s="50">
        <v>23177.31</v>
      </c>
    </row>
    <row r="14" spans="1:31" x14ac:dyDescent="0.35">
      <c r="A14" s="35" t="s">
        <v>297</v>
      </c>
      <c r="B14" s="35"/>
      <c r="C14" s="76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8"/>
      <c r="V14" s="50">
        <v>10212</v>
      </c>
      <c r="W14" s="50">
        <v>14712</v>
      </c>
      <c r="X14" s="50">
        <v>20779</v>
      </c>
      <c r="Y14" s="50">
        <v>24372</v>
      </c>
      <c r="Z14" s="50">
        <v>39851</v>
      </c>
      <c r="AA14" s="50">
        <v>44573</v>
      </c>
      <c r="AB14" s="50">
        <v>50096</v>
      </c>
      <c r="AC14" s="50">
        <v>56749</v>
      </c>
      <c r="AD14" s="50">
        <v>75032</v>
      </c>
      <c r="AE14" s="50">
        <v>94447</v>
      </c>
    </row>
    <row r="15" spans="1:31" x14ac:dyDescent="0.35">
      <c r="A15" s="35" t="s">
        <v>298</v>
      </c>
      <c r="B15" s="35"/>
      <c r="C15" s="76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8"/>
      <c r="V15" s="50">
        <v>4</v>
      </c>
      <c r="W15" s="50">
        <v>5</v>
      </c>
      <c r="X15" s="50">
        <v>7</v>
      </c>
      <c r="Y15" s="50">
        <v>8</v>
      </c>
      <c r="Z15" s="50">
        <v>11</v>
      </c>
      <c r="AA15" s="50">
        <v>14</v>
      </c>
      <c r="AB15" s="50">
        <v>16</v>
      </c>
      <c r="AC15" s="50">
        <v>21</v>
      </c>
      <c r="AD15" s="52">
        <v>27</v>
      </c>
      <c r="AE15" s="50">
        <v>30</v>
      </c>
    </row>
    <row r="16" spans="1:31" x14ac:dyDescent="0.35">
      <c r="A16" s="35" t="s">
        <v>271</v>
      </c>
      <c r="B16" s="35"/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1"/>
      <c r="V16" s="50"/>
      <c r="W16" s="50"/>
      <c r="X16" s="50"/>
      <c r="Y16" s="50"/>
      <c r="Z16" s="50"/>
      <c r="AA16" s="50"/>
      <c r="AB16" s="50"/>
      <c r="AC16" s="50"/>
      <c r="AD16" s="50"/>
      <c r="AE16" s="50"/>
    </row>
    <row r="17" spans="1:31" x14ac:dyDescent="0.3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pans="1:31" x14ac:dyDescent="0.35">
      <c r="A18" s="35" t="s">
        <v>299</v>
      </c>
      <c r="B18" s="35"/>
      <c r="C18" s="82" t="s">
        <v>162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4"/>
      <c r="U18" s="35">
        <v>14.47</v>
      </c>
      <c r="V18" s="35">
        <v>15.19</v>
      </c>
      <c r="W18" s="35">
        <v>15.32</v>
      </c>
      <c r="X18" s="35">
        <v>15.35</v>
      </c>
      <c r="Y18" s="35">
        <v>15.32</v>
      </c>
      <c r="Z18" s="35">
        <v>15.5</v>
      </c>
      <c r="AA18" s="35">
        <v>13.89</v>
      </c>
      <c r="AB18" s="35">
        <v>15.35</v>
      </c>
      <c r="AC18" s="35">
        <v>15.57</v>
      </c>
      <c r="AD18" s="35">
        <v>15.88</v>
      </c>
      <c r="AE18" s="35"/>
    </row>
    <row r="19" spans="1:31" x14ac:dyDescent="0.35">
      <c r="A19" s="35" t="s">
        <v>300</v>
      </c>
      <c r="B19" s="35"/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35">
        <v>61.14</v>
      </c>
      <c r="V19" s="35">
        <v>64.69</v>
      </c>
      <c r="W19" s="35">
        <v>65.48</v>
      </c>
      <c r="X19" s="35">
        <v>64.88</v>
      </c>
      <c r="Y19" s="35">
        <v>65.7</v>
      </c>
      <c r="Z19" s="35">
        <v>66.53</v>
      </c>
      <c r="AA19" s="35">
        <v>59.84</v>
      </c>
      <c r="AB19" s="35">
        <v>66.569999999999993</v>
      </c>
      <c r="AC19" s="35">
        <v>66.02</v>
      </c>
      <c r="AD19" s="35">
        <v>66.349999999999994</v>
      </c>
      <c r="AE19" s="35"/>
    </row>
  </sheetData>
  <mergeCells count="6">
    <mergeCell ref="C13:U16"/>
    <mergeCell ref="C18:T19"/>
    <mergeCell ref="P9:AA9"/>
    <mergeCell ref="D9:O9"/>
    <mergeCell ref="P7:AA7"/>
    <mergeCell ref="D7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491D-B1C0-4BC7-8980-E45A8D5BD9FD}">
  <dimension ref="A1:L239"/>
  <sheetViews>
    <sheetView workbookViewId="0">
      <selection activeCell="A44" sqref="A43:H44"/>
    </sheetView>
  </sheetViews>
  <sheetFormatPr defaultRowHeight="14.5" x14ac:dyDescent="0.35"/>
  <cols>
    <col min="1" max="1" width="41.453125" customWidth="1"/>
    <col min="2" max="2" width="16.7265625" customWidth="1"/>
    <col min="3" max="3" width="17.1796875" bestFit="1" customWidth="1"/>
    <col min="4" max="4" width="17.26953125" bestFit="1" customWidth="1"/>
    <col min="5" max="5" width="17.36328125" bestFit="1" customWidth="1"/>
    <col min="6" max="6" width="17.54296875" bestFit="1" customWidth="1"/>
    <col min="7" max="7" width="9.90625" bestFit="1" customWidth="1"/>
    <col min="8" max="8" width="24.453125" bestFit="1" customWidth="1"/>
    <col min="9" max="9" width="8.90625" bestFit="1" customWidth="1"/>
  </cols>
  <sheetData>
    <row r="1" spans="1:12" ht="15" x14ac:dyDescent="0.4">
      <c r="A1" s="8" t="s">
        <v>266</v>
      </c>
      <c r="B1" s="8" t="s">
        <v>265</v>
      </c>
      <c r="C1" s="8"/>
      <c r="D1" s="8"/>
      <c r="E1" s="8"/>
      <c r="F1" s="8"/>
      <c r="G1" s="8"/>
    </row>
    <row r="2" spans="1:12" ht="15" x14ac:dyDescent="0.4">
      <c r="A2" s="57" t="s">
        <v>48</v>
      </c>
      <c r="B2" s="58">
        <v>46113</v>
      </c>
      <c r="C2" s="58">
        <v>46143</v>
      </c>
      <c r="D2" s="58">
        <v>46174</v>
      </c>
      <c r="E2" s="58">
        <v>46204</v>
      </c>
      <c r="F2" s="58">
        <v>46235</v>
      </c>
      <c r="G2" s="8" t="s">
        <v>324</v>
      </c>
      <c r="H2" t="s">
        <v>325</v>
      </c>
      <c r="J2">
        <v>35000</v>
      </c>
      <c r="K2">
        <v>45000</v>
      </c>
      <c r="L2" s="72">
        <f>K2/J2-1</f>
        <v>0.28571428571428581</v>
      </c>
    </row>
    <row r="3" spans="1:12" ht="15" x14ac:dyDescent="0.4">
      <c r="A3" s="60" t="s">
        <v>128</v>
      </c>
      <c r="B3" s="61">
        <v>3002</v>
      </c>
      <c r="C3" s="61">
        <v>2126</v>
      </c>
      <c r="D3" s="61">
        <v>1137</v>
      </c>
      <c r="E3" s="61" t="s">
        <v>162</v>
      </c>
      <c r="F3" s="53" t="str">
        <f>IFERROR(VLOOKUP(A3,[1]Sheet1!$A$1:$B$247,2,FALSE),0)</f>
        <v>-</v>
      </c>
      <c r="G3" s="54" t="e">
        <f>F3-E3</f>
        <v>#VALUE!</v>
      </c>
    </row>
    <row r="4" spans="1:12" ht="15" x14ac:dyDescent="0.4">
      <c r="A4" s="35" t="s">
        <v>133</v>
      </c>
      <c r="B4" s="36">
        <v>1961</v>
      </c>
      <c r="C4" s="36" t="s">
        <v>134</v>
      </c>
      <c r="D4" s="36">
        <v>0</v>
      </c>
      <c r="E4" s="36" t="s">
        <v>162</v>
      </c>
      <c r="F4" s="53">
        <f>IFERROR(VLOOKUP(A4,[1]Sheet1!$A$1:$B$247,2,FALSE),0)</f>
        <v>0</v>
      </c>
      <c r="G4" s="54" t="e">
        <f>F4-E4</f>
        <v>#VALUE!</v>
      </c>
    </row>
    <row r="5" spans="1:12" ht="15" x14ac:dyDescent="0.4">
      <c r="A5" s="35" t="s">
        <v>141</v>
      </c>
      <c r="B5" s="36">
        <v>615</v>
      </c>
      <c r="C5" s="36">
        <v>616</v>
      </c>
      <c r="D5" s="36">
        <v>623</v>
      </c>
      <c r="E5" s="36" t="s">
        <v>162</v>
      </c>
      <c r="F5" s="53">
        <f>IFERROR(VLOOKUP(A5,[1]Sheet1!$A$1:$B$247,2,FALSE),0)</f>
        <v>621</v>
      </c>
      <c r="G5" s="54" t="e">
        <f>F5-E5</f>
        <v>#VALUE!</v>
      </c>
    </row>
    <row r="6" spans="1:12" ht="15" x14ac:dyDescent="0.4">
      <c r="A6" s="35" t="s">
        <v>150</v>
      </c>
      <c r="B6" s="36">
        <v>26</v>
      </c>
      <c r="C6" s="36">
        <v>26</v>
      </c>
      <c r="D6" s="36">
        <v>26</v>
      </c>
      <c r="E6" s="36" t="s">
        <v>162</v>
      </c>
      <c r="F6" s="53">
        <f>IFERROR(VLOOKUP(A6,[1]Sheet1!$A$1:$B$247,2,FALSE),0)</f>
        <v>25</v>
      </c>
      <c r="G6" s="54" t="e">
        <f>F6-E6</f>
        <v>#VALUE!</v>
      </c>
    </row>
    <row r="7" spans="1:12" ht="15" x14ac:dyDescent="0.4">
      <c r="A7" s="35" t="s">
        <v>152</v>
      </c>
      <c r="B7" s="36">
        <v>12</v>
      </c>
      <c r="C7" s="36">
        <v>10</v>
      </c>
      <c r="D7" s="36">
        <v>5</v>
      </c>
      <c r="E7" s="36" t="s">
        <v>162</v>
      </c>
      <c r="F7" s="53" t="str">
        <f>IFERROR(VLOOKUP(A7,[1]Sheet1!$A$1:$B$247,2,FALSE),0)</f>
        <v>-</v>
      </c>
      <c r="G7" s="54" t="e">
        <f>F7-E7</f>
        <v>#VALUE!</v>
      </c>
    </row>
    <row r="8" spans="1:12" ht="15" x14ac:dyDescent="0.4">
      <c r="A8" s="35" t="s">
        <v>154</v>
      </c>
      <c r="B8" s="36">
        <v>1</v>
      </c>
      <c r="C8" s="36">
        <v>1</v>
      </c>
      <c r="D8" s="36">
        <v>1</v>
      </c>
      <c r="E8" s="36" t="s">
        <v>162</v>
      </c>
      <c r="F8" s="53">
        <f>IFERROR(VLOOKUP(A8,[1]Sheet1!$A$1:$B$247,2,FALSE),0)</f>
        <v>0</v>
      </c>
      <c r="G8" s="54" t="e">
        <f>F8-E8</f>
        <v>#VALUE!</v>
      </c>
    </row>
    <row r="9" spans="1:12" ht="15" x14ac:dyDescent="0.4">
      <c r="A9" s="35" t="s">
        <v>161</v>
      </c>
      <c r="B9" s="36" t="s">
        <v>134</v>
      </c>
      <c r="C9" s="36" t="s">
        <v>162</v>
      </c>
      <c r="D9" s="36" t="s">
        <v>162</v>
      </c>
      <c r="E9" s="36" t="s">
        <v>162</v>
      </c>
      <c r="F9" s="53" t="str">
        <f>IFERROR(VLOOKUP(A9,[1]Sheet1!$A$1:$B$247,2,FALSE),0)</f>
        <v>-</v>
      </c>
      <c r="G9" s="54" t="e">
        <f>F9-E9</f>
        <v>#VALUE!</v>
      </c>
    </row>
    <row r="10" spans="1:12" ht="15" x14ac:dyDescent="0.4">
      <c r="A10" s="35" t="s">
        <v>168</v>
      </c>
      <c r="B10" s="36" t="s">
        <v>134</v>
      </c>
      <c r="C10" s="36" t="s">
        <v>162</v>
      </c>
      <c r="D10" s="36" t="s">
        <v>162</v>
      </c>
      <c r="E10" s="36" t="s">
        <v>162</v>
      </c>
      <c r="F10" s="53" t="str">
        <f>IFERROR(VLOOKUP(A10,[1]Sheet1!$A$1:$B$247,2,FALSE),0)</f>
        <v>-</v>
      </c>
      <c r="G10" s="54" t="e">
        <f>F10-E10</f>
        <v>#VALUE!</v>
      </c>
    </row>
    <row r="11" spans="1:12" ht="15" x14ac:dyDescent="0.4">
      <c r="A11" s="35" t="s">
        <v>173</v>
      </c>
      <c r="B11" s="36" t="s">
        <v>134</v>
      </c>
      <c r="C11" s="36" t="s">
        <v>162</v>
      </c>
      <c r="D11" s="36" t="s">
        <v>162</v>
      </c>
      <c r="E11" s="36" t="s">
        <v>162</v>
      </c>
      <c r="F11" s="53" t="str">
        <f>IFERROR(VLOOKUP(A11,[1]Sheet1!$A$1:$B$247,2,FALSE),0)</f>
        <v>-</v>
      </c>
      <c r="G11" s="54" t="e">
        <f>F11-E11</f>
        <v>#VALUE!</v>
      </c>
    </row>
    <row r="12" spans="1:12" ht="15" x14ac:dyDescent="0.4">
      <c r="A12" s="35" t="s">
        <v>177</v>
      </c>
      <c r="B12" s="36" t="s">
        <v>134</v>
      </c>
      <c r="C12" s="36" t="s">
        <v>162</v>
      </c>
      <c r="D12" s="36" t="s">
        <v>162</v>
      </c>
      <c r="E12" s="36" t="s">
        <v>162</v>
      </c>
      <c r="F12" s="53" t="str">
        <f>IFERROR(VLOOKUP(A12,[1]Sheet1!$A$1:$B$247,2,FALSE),0)</f>
        <v>-</v>
      </c>
      <c r="G12" s="54" t="e">
        <f>F12-E12</f>
        <v>#VALUE!</v>
      </c>
    </row>
    <row r="13" spans="1:12" ht="15" x14ac:dyDescent="0.4">
      <c r="A13" s="35" t="s">
        <v>178</v>
      </c>
      <c r="B13" s="36" t="s">
        <v>134</v>
      </c>
      <c r="C13" s="36" t="s">
        <v>162</v>
      </c>
      <c r="D13" s="36">
        <v>0</v>
      </c>
      <c r="E13" s="36" t="s">
        <v>162</v>
      </c>
      <c r="F13" s="53" t="str">
        <f>IFERROR(VLOOKUP(A13,[1]Sheet1!$A$1:$B$247,2,FALSE),0)</f>
        <v>-</v>
      </c>
      <c r="G13" s="54" t="e">
        <f>F13-E13</f>
        <v>#VALUE!</v>
      </c>
    </row>
    <row r="14" spans="1:12" ht="15" x14ac:dyDescent="0.4">
      <c r="A14" s="35" t="s">
        <v>180</v>
      </c>
      <c r="B14" s="36" t="s">
        <v>134</v>
      </c>
      <c r="C14" s="36" t="s">
        <v>162</v>
      </c>
      <c r="D14" s="36" t="s">
        <v>162</v>
      </c>
      <c r="E14" s="36" t="s">
        <v>162</v>
      </c>
      <c r="F14" s="53" t="str">
        <f>IFERROR(VLOOKUP(A14,[1]Sheet1!$A$1:$B$247,2,FALSE),0)</f>
        <v>-</v>
      </c>
      <c r="G14" s="54" t="e">
        <f>F14-E14</f>
        <v>#VALUE!</v>
      </c>
    </row>
    <row r="15" spans="1:12" ht="15" x14ac:dyDescent="0.4">
      <c r="A15" s="35" t="s">
        <v>181</v>
      </c>
      <c r="B15" s="36" t="s">
        <v>134</v>
      </c>
      <c r="C15" s="36" t="s">
        <v>162</v>
      </c>
      <c r="D15" s="36" t="s">
        <v>162</v>
      </c>
      <c r="E15" s="36" t="s">
        <v>162</v>
      </c>
      <c r="F15" s="53" t="str">
        <f>IFERROR(VLOOKUP(A15,[1]Sheet1!$A$1:$B$247,2,FALSE),0)</f>
        <v>-</v>
      </c>
      <c r="G15" s="54" t="e">
        <f>F15-E15</f>
        <v>#VALUE!</v>
      </c>
    </row>
    <row r="16" spans="1:12" ht="15" x14ac:dyDescent="0.4">
      <c r="A16" s="35" t="s">
        <v>187</v>
      </c>
      <c r="B16" s="36" t="s">
        <v>134</v>
      </c>
      <c r="C16" s="36" t="s">
        <v>162</v>
      </c>
      <c r="D16" s="36" t="s">
        <v>162</v>
      </c>
      <c r="E16" s="36" t="s">
        <v>162</v>
      </c>
      <c r="F16" s="53" t="str">
        <f>IFERROR(VLOOKUP(A16,[1]Sheet1!$A$1:$B$247,2,FALSE),0)</f>
        <v>-</v>
      </c>
      <c r="G16" s="54" t="e">
        <f>F16-E16</f>
        <v>#VALUE!</v>
      </c>
    </row>
    <row r="17" spans="1:7" ht="15" x14ac:dyDescent="0.4">
      <c r="A17" s="35" t="s">
        <v>192</v>
      </c>
      <c r="B17" s="36" t="s">
        <v>134</v>
      </c>
      <c r="C17" s="36" t="s">
        <v>162</v>
      </c>
      <c r="D17" s="36" t="s">
        <v>162</v>
      </c>
      <c r="E17" s="36" t="s">
        <v>162</v>
      </c>
      <c r="F17" s="53" t="str">
        <f>IFERROR(VLOOKUP(A17,[1]Sheet1!$A$1:$B$247,2,FALSE),0)</f>
        <v>-</v>
      </c>
      <c r="G17" s="54" t="e">
        <f>F17-E17</f>
        <v>#VALUE!</v>
      </c>
    </row>
    <row r="18" spans="1:7" ht="15" x14ac:dyDescent="0.4">
      <c r="A18" s="35" t="s">
        <v>193</v>
      </c>
      <c r="B18" s="36" t="s">
        <v>134</v>
      </c>
      <c r="C18" s="36" t="s">
        <v>162</v>
      </c>
      <c r="D18" s="36" t="s">
        <v>162</v>
      </c>
      <c r="E18" s="36" t="s">
        <v>162</v>
      </c>
      <c r="F18" s="53" t="str">
        <f>IFERROR(VLOOKUP(A18,[1]Sheet1!$A$1:$B$247,2,FALSE),0)</f>
        <v>-</v>
      </c>
      <c r="G18" s="54" t="e">
        <f>F18-E18</f>
        <v>#VALUE!</v>
      </c>
    </row>
    <row r="19" spans="1:7" ht="15" x14ac:dyDescent="0.4">
      <c r="A19" s="35" t="s">
        <v>195</v>
      </c>
      <c r="B19" s="36" t="s">
        <v>134</v>
      </c>
      <c r="C19" s="36" t="s">
        <v>162</v>
      </c>
      <c r="D19" s="36" t="s">
        <v>162</v>
      </c>
      <c r="E19" s="36" t="s">
        <v>162</v>
      </c>
      <c r="F19" s="53" t="str">
        <f>IFERROR(VLOOKUP(A19,[1]Sheet1!$A$1:$B$247,2,FALSE),0)</f>
        <v>-</v>
      </c>
      <c r="G19" s="54" t="e">
        <f>F19-E19</f>
        <v>#VALUE!</v>
      </c>
    </row>
    <row r="20" spans="1:7" ht="15" x14ac:dyDescent="0.4">
      <c r="A20" s="35" t="s">
        <v>197</v>
      </c>
      <c r="B20" s="36" t="s">
        <v>134</v>
      </c>
      <c r="C20" s="36" t="s">
        <v>162</v>
      </c>
      <c r="D20" s="36" t="s">
        <v>162</v>
      </c>
      <c r="E20" s="36" t="s">
        <v>162</v>
      </c>
      <c r="F20" s="53">
        <f>IFERROR(VLOOKUP(A20,[1]Sheet1!$A$1:$B$247,2,FALSE),0)</f>
        <v>0</v>
      </c>
      <c r="G20" s="54" t="e">
        <f>F20-E20</f>
        <v>#VALUE!</v>
      </c>
    </row>
    <row r="21" spans="1:7" ht="15" x14ac:dyDescent="0.4">
      <c r="A21" s="35" t="s">
        <v>199</v>
      </c>
      <c r="B21" s="36" t="s">
        <v>134</v>
      </c>
      <c r="C21" s="36" t="s">
        <v>162</v>
      </c>
      <c r="D21" s="36" t="s">
        <v>162</v>
      </c>
      <c r="E21" s="36" t="s">
        <v>162</v>
      </c>
      <c r="F21" s="53" t="str">
        <f>IFERROR(VLOOKUP(A21,[1]Sheet1!$A$1:$B$247,2,FALSE),0)</f>
        <v>-</v>
      </c>
      <c r="G21" s="54" t="e">
        <f>F21-E21</f>
        <v>#VALUE!</v>
      </c>
    </row>
    <row r="22" spans="1:7" ht="15" x14ac:dyDescent="0.4">
      <c r="A22" s="35" t="s">
        <v>200</v>
      </c>
      <c r="B22" s="36">
        <v>0</v>
      </c>
      <c r="C22" s="36">
        <v>0</v>
      </c>
      <c r="D22" s="36" t="s">
        <v>162</v>
      </c>
      <c r="E22" s="36" t="s">
        <v>162</v>
      </c>
      <c r="F22" s="53" t="str">
        <f>IFERROR(VLOOKUP(A22,[1]Sheet1!$A$1:$B$247,2,FALSE),0)</f>
        <v>-</v>
      </c>
      <c r="G22" s="54" t="e">
        <f>F22-E22</f>
        <v>#VALUE!</v>
      </c>
    </row>
    <row r="23" spans="1:7" ht="15" x14ac:dyDescent="0.4">
      <c r="A23" s="35" t="s">
        <v>201</v>
      </c>
      <c r="B23" s="36">
        <v>0</v>
      </c>
      <c r="C23" s="36">
        <v>0</v>
      </c>
      <c r="D23" s="36" t="s">
        <v>162</v>
      </c>
      <c r="E23" s="36" t="s">
        <v>162</v>
      </c>
      <c r="F23" s="53" t="str">
        <f>IFERROR(VLOOKUP(A23,[1]Sheet1!$A$1:$B$247,2,FALSE),0)</f>
        <v>-</v>
      </c>
      <c r="G23" s="54" t="e">
        <f>F23-E23</f>
        <v>#VALUE!</v>
      </c>
    </row>
    <row r="24" spans="1:7" ht="15" x14ac:dyDescent="0.4">
      <c r="A24" s="35" t="s">
        <v>202</v>
      </c>
      <c r="B24" s="36">
        <v>0</v>
      </c>
      <c r="C24" s="36">
        <v>0</v>
      </c>
      <c r="D24" s="36" t="s">
        <v>162</v>
      </c>
      <c r="E24" s="36" t="s">
        <v>162</v>
      </c>
      <c r="F24" s="53" t="str">
        <f>IFERROR(VLOOKUP(A24,[1]Sheet1!$A$1:$B$247,2,FALSE),0)</f>
        <v>-</v>
      </c>
      <c r="G24" s="54" t="e">
        <f>F24-E24</f>
        <v>#VALUE!</v>
      </c>
    </row>
    <row r="25" spans="1:7" ht="15" x14ac:dyDescent="0.4">
      <c r="A25" s="35" t="s">
        <v>203</v>
      </c>
      <c r="B25" s="36">
        <v>0</v>
      </c>
      <c r="C25" s="36">
        <v>0</v>
      </c>
      <c r="D25" s="36" t="s">
        <v>162</v>
      </c>
      <c r="E25" s="36" t="s">
        <v>162</v>
      </c>
      <c r="F25" s="53">
        <f>IFERROR(VLOOKUP(A25,[1]Sheet1!$A$1:$B$247,2,FALSE),0)</f>
        <v>0</v>
      </c>
      <c r="G25" s="54" t="e">
        <f>F25-E25</f>
        <v>#VALUE!</v>
      </c>
    </row>
    <row r="26" spans="1:7" ht="15" x14ac:dyDescent="0.4">
      <c r="A26" s="35" t="s">
        <v>204</v>
      </c>
      <c r="B26" s="36">
        <v>0</v>
      </c>
      <c r="C26" s="36">
        <v>0</v>
      </c>
      <c r="D26" s="36" t="s">
        <v>162</v>
      </c>
      <c r="E26" s="36" t="s">
        <v>162</v>
      </c>
      <c r="F26" s="53" t="str">
        <f>IFERROR(VLOOKUP(A26,[1]Sheet1!$A$1:$B$247,2,FALSE),0)</f>
        <v>-</v>
      </c>
      <c r="G26" s="54" t="e">
        <f>F26-E26</f>
        <v>#VALUE!</v>
      </c>
    </row>
    <row r="27" spans="1:7" ht="15" x14ac:dyDescent="0.4">
      <c r="A27" s="35" t="s">
        <v>205</v>
      </c>
      <c r="B27" s="36">
        <v>0</v>
      </c>
      <c r="C27" s="36">
        <v>0</v>
      </c>
      <c r="D27" s="36" t="s">
        <v>162</v>
      </c>
      <c r="E27" s="36" t="s">
        <v>162</v>
      </c>
      <c r="F27" s="53" t="str">
        <f>IFERROR(VLOOKUP(A27,[1]Sheet1!$A$1:$B$247,2,FALSE),0)</f>
        <v>-</v>
      </c>
      <c r="G27" s="54" t="e">
        <f>F27-E27</f>
        <v>#VALUE!</v>
      </c>
    </row>
    <row r="28" spans="1:7" ht="15" x14ac:dyDescent="0.4">
      <c r="A28" s="35" t="s">
        <v>206</v>
      </c>
      <c r="B28" s="36">
        <v>0</v>
      </c>
      <c r="C28" s="36">
        <v>0</v>
      </c>
      <c r="D28" s="36" t="s">
        <v>162</v>
      </c>
      <c r="E28" s="36" t="s">
        <v>162</v>
      </c>
      <c r="F28" s="53" t="str">
        <f>IFERROR(VLOOKUP(A28,[1]Sheet1!$A$1:$B$247,2,FALSE),0)</f>
        <v>-</v>
      </c>
      <c r="G28" s="54" t="e">
        <f>F28-E28</f>
        <v>#VALUE!</v>
      </c>
    </row>
    <row r="29" spans="1:7" ht="15" x14ac:dyDescent="0.4">
      <c r="A29" s="35" t="s">
        <v>207</v>
      </c>
      <c r="B29" s="36">
        <v>0</v>
      </c>
      <c r="C29" s="36">
        <v>0</v>
      </c>
      <c r="D29" s="36" t="s">
        <v>162</v>
      </c>
      <c r="E29" s="36" t="s">
        <v>162</v>
      </c>
      <c r="F29" s="53" t="str">
        <f>IFERROR(VLOOKUP(A29,[1]Sheet1!$A$1:$B$247,2,FALSE),0)</f>
        <v>-</v>
      </c>
      <c r="G29" s="54" t="e">
        <f>F29-E29</f>
        <v>#VALUE!</v>
      </c>
    </row>
    <row r="30" spans="1:7" ht="15" x14ac:dyDescent="0.4">
      <c r="A30" s="35" t="s">
        <v>208</v>
      </c>
      <c r="B30" s="36">
        <v>0</v>
      </c>
      <c r="C30" s="36">
        <v>0</v>
      </c>
      <c r="D30" s="36" t="s">
        <v>162</v>
      </c>
      <c r="E30" s="36" t="s">
        <v>162</v>
      </c>
      <c r="F30" s="53" t="str">
        <f>IFERROR(VLOOKUP(A30,[1]Sheet1!$A$1:$B$247,2,FALSE),0)</f>
        <v>-</v>
      </c>
      <c r="G30" s="54" t="e">
        <f>F30-E30</f>
        <v>#VALUE!</v>
      </c>
    </row>
    <row r="31" spans="1:7" ht="15" x14ac:dyDescent="0.4">
      <c r="A31" s="35" t="s">
        <v>209</v>
      </c>
      <c r="B31" s="36">
        <v>0</v>
      </c>
      <c r="C31" s="36">
        <v>0</v>
      </c>
      <c r="D31" s="36" t="s">
        <v>162</v>
      </c>
      <c r="E31" s="36" t="s">
        <v>162</v>
      </c>
      <c r="F31" s="53" t="str">
        <f>IFERROR(VLOOKUP(A31,[1]Sheet1!$A$1:$B$247,2,FALSE),0)</f>
        <v>-</v>
      </c>
      <c r="G31" s="54" t="e">
        <f>F31-E31</f>
        <v>#VALUE!</v>
      </c>
    </row>
    <row r="32" spans="1:7" ht="15" x14ac:dyDescent="0.4">
      <c r="A32" s="35" t="s">
        <v>210</v>
      </c>
      <c r="B32" s="36">
        <v>0</v>
      </c>
      <c r="C32" s="36">
        <v>0</v>
      </c>
      <c r="D32" s="36" t="s">
        <v>162</v>
      </c>
      <c r="E32" s="36" t="s">
        <v>162</v>
      </c>
      <c r="F32" s="53" t="str">
        <f>IFERROR(VLOOKUP(A32,[1]Sheet1!$A$1:$B$247,2,FALSE),0)</f>
        <v>-</v>
      </c>
      <c r="G32" s="54" t="e">
        <f>F32-E32</f>
        <v>#VALUE!</v>
      </c>
    </row>
    <row r="33" spans="1:11" ht="15" x14ac:dyDescent="0.4">
      <c r="A33" s="35" t="s">
        <v>211</v>
      </c>
      <c r="B33" s="36">
        <v>0</v>
      </c>
      <c r="C33" s="36">
        <v>0</v>
      </c>
      <c r="D33" s="36" t="s">
        <v>162</v>
      </c>
      <c r="E33" s="36" t="s">
        <v>162</v>
      </c>
      <c r="F33" s="53" t="str">
        <f>IFERROR(VLOOKUP(A33,[1]Sheet1!$A$1:$B$247,2,FALSE),0)</f>
        <v>-</v>
      </c>
      <c r="G33" s="54" t="e">
        <f>F33-E33</f>
        <v>#VALUE!</v>
      </c>
    </row>
    <row r="34" spans="1:11" ht="15" x14ac:dyDescent="0.4">
      <c r="A34" s="35" t="s">
        <v>213</v>
      </c>
      <c r="B34" s="36" t="s">
        <v>134</v>
      </c>
      <c r="C34" s="36" t="s">
        <v>134</v>
      </c>
      <c r="D34" s="36">
        <v>48547</v>
      </c>
      <c r="E34" s="36" t="s">
        <v>162</v>
      </c>
      <c r="F34" s="53">
        <f>IFERROR(VLOOKUP(A34,[1]Sheet1!$A$1:$B$247,2,FALSE),0)</f>
        <v>0</v>
      </c>
      <c r="G34" s="54" t="e">
        <f>F34-E34</f>
        <v>#VALUE!</v>
      </c>
    </row>
    <row r="35" spans="1:11" ht="15" x14ac:dyDescent="0.4">
      <c r="A35" s="35" t="s">
        <v>215</v>
      </c>
      <c r="B35" s="36" t="s">
        <v>134</v>
      </c>
      <c r="C35" s="36" t="s">
        <v>134</v>
      </c>
      <c r="D35" s="36" t="s">
        <v>162</v>
      </c>
      <c r="E35" s="36" t="s">
        <v>162</v>
      </c>
      <c r="F35" s="53" t="str">
        <f>IFERROR(VLOOKUP(A35,[1]Sheet1!$A$1:$B$247,2,FALSE),0)</f>
        <v>-</v>
      </c>
      <c r="G35" s="54" t="e">
        <f>F35-E35</f>
        <v>#VALUE!</v>
      </c>
    </row>
    <row r="36" spans="1:11" ht="15" x14ac:dyDescent="0.4">
      <c r="A36" s="35" t="s">
        <v>220</v>
      </c>
      <c r="B36" s="36" t="s">
        <v>134</v>
      </c>
      <c r="C36" s="36" t="s">
        <v>134</v>
      </c>
      <c r="D36" s="36" t="s">
        <v>162</v>
      </c>
      <c r="E36" s="36" t="s">
        <v>162</v>
      </c>
      <c r="F36" s="53">
        <f>IFERROR(VLOOKUP(A36,[1]Sheet1!$A$1:$B$247,2,FALSE),0)</f>
        <v>0</v>
      </c>
      <c r="G36" s="54" t="e">
        <f>F36-E36</f>
        <v>#VALUE!</v>
      </c>
    </row>
    <row r="37" spans="1:11" ht="15" x14ac:dyDescent="0.4">
      <c r="A37" s="35" t="s">
        <v>226</v>
      </c>
      <c r="B37" s="36" t="s">
        <v>134</v>
      </c>
      <c r="C37" s="36" t="s">
        <v>134</v>
      </c>
      <c r="D37" s="36" t="s">
        <v>162</v>
      </c>
      <c r="E37" s="36" t="s">
        <v>162</v>
      </c>
      <c r="F37" s="53" t="str">
        <f>IFERROR(VLOOKUP(A37,[1]Sheet1!$A$1:$B$247,2,FALSE),0)</f>
        <v>-</v>
      </c>
      <c r="G37" s="54" t="e">
        <f>F37-E37</f>
        <v>#VALUE!</v>
      </c>
    </row>
    <row r="38" spans="1:11" ht="15" x14ac:dyDescent="0.4">
      <c r="A38" s="35" t="s">
        <v>227</v>
      </c>
      <c r="B38" s="36" t="s">
        <v>134</v>
      </c>
      <c r="C38" s="36" t="s">
        <v>134</v>
      </c>
      <c r="D38" s="36" t="s">
        <v>162</v>
      </c>
      <c r="E38" s="36" t="s">
        <v>162</v>
      </c>
      <c r="F38" s="53" t="str">
        <f>IFERROR(VLOOKUP(A38,[1]Sheet1!$A$1:$B$247,2,FALSE),0)</f>
        <v>-</v>
      </c>
      <c r="G38" s="54" t="e">
        <f>F38-E38</f>
        <v>#VALUE!</v>
      </c>
    </row>
    <row r="39" spans="1:11" ht="15" x14ac:dyDescent="0.4">
      <c r="A39" s="35" t="s">
        <v>230</v>
      </c>
      <c r="B39" s="36" t="s">
        <v>134</v>
      </c>
      <c r="C39" s="36" t="s">
        <v>134</v>
      </c>
      <c r="D39" s="36" t="s">
        <v>162</v>
      </c>
      <c r="E39" s="36" t="s">
        <v>162</v>
      </c>
      <c r="F39" s="53" t="str">
        <f>IFERROR(VLOOKUP(A39,[1]Sheet1!$A$1:$B$247,2,FALSE),0)</f>
        <v>-</v>
      </c>
      <c r="G39" s="54" t="e">
        <f>F39-E39</f>
        <v>#VALUE!</v>
      </c>
    </row>
    <row r="40" spans="1:11" ht="15" x14ac:dyDescent="0.4">
      <c r="A40" s="35" t="s">
        <v>237</v>
      </c>
      <c r="B40" s="36" t="s">
        <v>134</v>
      </c>
      <c r="C40" s="36" t="s">
        <v>134</v>
      </c>
      <c r="D40" s="36" t="s">
        <v>162</v>
      </c>
      <c r="E40" s="36" t="s">
        <v>162</v>
      </c>
      <c r="F40" s="53" t="str">
        <f>IFERROR(VLOOKUP(A40,[1]Sheet1!$A$1:$B$247,2,FALSE),0)</f>
        <v>-</v>
      </c>
      <c r="G40" s="54" t="e">
        <f>F40-E40</f>
        <v>#VALUE!</v>
      </c>
    </row>
    <row r="41" spans="1:11" ht="15" x14ac:dyDescent="0.4">
      <c r="A41" s="43" t="s">
        <v>240</v>
      </c>
      <c r="B41" s="59" t="s">
        <v>134</v>
      </c>
      <c r="C41" s="59" t="s">
        <v>134</v>
      </c>
      <c r="D41" s="59" t="s">
        <v>162</v>
      </c>
      <c r="E41" s="59" t="s">
        <v>162</v>
      </c>
      <c r="F41" s="53" t="str">
        <f>IFERROR(VLOOKUP(A41,[1]Sheet1!$A$1:$B$247,2,FALSE),0)</f>
        <v>-</v>
      </c>
      <c r="G41" s="54" t="e">
        <f>F41-E41</f>
        <v>#VALUE!</v>
      </c>
    </row>
    <row r="42" spans="1:11" ht="15" x14ac:dyDescent="0.4">
      <c r="A42" s="9" t="s">
        <v>49</v>
      </c>
      <c r="B42" s="53">
        <v>13032121</v>
      </c>
      <c r="C42" s="53">
        <v>13059756</v>
      </c>
      <c r="D42" s="53">
        <v>13053752</v>
      </c>
      <c r="E42" s="53">
        <v>13123871</v>
      </c>
      <c r="F42" s="53">
        <f>IFERROR(VLOOKUP(A42,[1]Sheet1!$A$1:$B$247,2,FALSE),0)</f>
        <v>13347233</v>
      </c>
      <c r="G42" s="54">
        <f t="shared" ref="G42:G73" si="0">F42-E42</f>
        <v>223362</v>
      </c>
      <c r="H42" s="70">
        <v>0.29039999999999999</v>
      </c>
      <c r="K42">
        <f>1300*12</f>
        <v>15600</v>
      </c>
    </row>
    <row r="43" spans="1:11" ht="15" x14ac:dyDescent="0.4">
      <c r="A43" s="9" t="s">
        <v>50</v>
      </c>
      <c r="B43" s="53">
        <v>6883999</v>
      </c>
      <c r="C43" s="53">
        <v>6847049</v>
      </c>
      <c r="D43" s="53">
        <v>6801078</v>
      </c>
      <c r="E43" s="53">
        <v>6762353</v>
      </c>
      <c r="F43" s="53">
        <f>IFERROR(VLOOKUP(A43,[1]Sheet1!$A$1:$B$247,2,FALSE),0)</f>
        <v>6796854</v>
      </c>
      <c r="G43" s="54">
        <f t="shared" si="0"/>
        <v>34501</v>
      </c>
      <c r="H43" s="70">
        <v>0.1462</v>
      </c>
    </row>
    <row r="44" spans="1:11" ht="15" x14ac:dyDescent="0.4">
      <c r="A44" s="9" t="s">
        <v>51</v>
      </c>
      <c r="B44" s="53">
        <v>6743840</v>
      </c>
      <c r="C44" s="53">
        <v>6684223</v>
      </c>
      <c r="D44" s="53">
        <v>6633833</v>
      </c>
      <c r="E44" s="53">
        <v>6634119</v>
      </c>
      <c r="F44" s="53">
        <f>IFERROR(VLOOKUP(A44,[1]Sheet1!$A$1:$B$247,2,FALSE),0)</f>
        <v>6718755</v>
      </c>
      <c r="G44" s="54">
        <f t="shared" si="0"/>
        <v>84636</v>
      </c>
      <c r="H44" s="70">
        <v>0.1462</v>
      </c>
    </row>
    <row r="45" spans="1:11" ht="15" x14ac:dyDescent="0.4">
      <c r="A45" s="9" t="s">
        <v>52</v>
      </c>
      <c r="B45" s="53">
        <v>2097085</v>
      </c>
      <c r="C45" s="53">
        <v>2105295</v>
      </c>
      <c r="D45" s="53">
        <v>2121076</v>
      </c>
      <c r="E45" s="53">
        <v>2132824</v>
      </c>
      <c r="F45" s="53">
        <f>IFERROR(VLOOKUP(A45,[1]Sheet1!$A$1:$B$247,2,FALSE),0)</f>
        <v>2156209</v>
      </c>
      <c r="G45" s="54">
        <f t="shared" si="0"/>
        <v>23385</v>
      </c>
      <c r="H45" s="70">
        <v>4.6899999999999997E-2</v>
      </c>
    </row>
    <row r="46" spans="1:11" ht="15" x14ac:dyDescent="0.4">
      <c r="A46" s="9" t="s">
        <v>53</v>
      </c>
      <c r="B46" s="53">
        <v>1961826</v>
      </c>
      <c r="C46" s="53">
        <v>1923729</v>
      </c>
      <c r="D46" s="53">
        <v>1887312</v>
      </c>
      <c r="E46" s="53">
        <v>1860879</v>
      </c>
      <c r="F46" s="53">
        <f>IFERROR(VLOOKUP(A46,[1]Sheet1!$A$1:$B$247,2,FALSE),0)</f>
        <v>1864628</v>
      </c>
      <c r="G46" s="54">
        <f t="shared" si="0"/>
        <v>3749</v>
      </c>
      <c r="H46" s="70">
        <v>4.0599999999999997E-2</v>
      </c>
    </row>
    <row r="47" spans="1:11" ht="15" x14ac:dyDescent="0.4">
      <c r="A47" s="9" t="s">
        <v>54</v>
      </c>
      <c r="B47" s="53">
        <v>1385446</v>
      </c>
      <c r="C47" s="53">
        <v>1380379</v>
      </c>
      <c r="D47" s="53">
        <v>1379677</v>
      </c>
      <c r="E47" s="53">
        <v>1382223</v>
      </c>
      <c r="F47" s="53">
        <f>IFERROR(VLOOKUP(A47,[1]Sheet1!$A$1:$B$247,2,FALSE),0)</f>
        <v>1391663</v>
      </c>
      <c r="G47" s="54">
        <f t="shared" si="0"/>
        <v>9440</v>
      </c>
      <c r="H47" s="70">
        <v>3.0300000000000001E-2</v>
      </c>
    </row>
    <row r="48" spans="1:11" ht="15" x14ac:dyDescent="0.4">
      <c r="A48" s="9" t="s">
        <v>55</v>
      </c>
      <c r="B48" s="53">
        <v>1379984</v>
      </c>
      <c r="C48" s="53">
        <v>1361209</v>
      </c>
      <c r="D48" s="53">
        <v>1344282</v>
      </c>
      <c r="E48" s="53">
        <v>1335113</v>
      </c>
      <c r="F48" s="53">
        <f>IFERROR(VLOOKUP(A48,[1]Sheet1!$A$1:$B$247,2,FALSE),0)</f>
        <v>1351311</v>
      </c>
      <c r="G48" s="54">
        <f t="shared" si="0"/>
        <v>16198</v>
      </c>
      <c r="H48" s="70">
        <v>2.9399999999999999E-2</v>
      </c>
    </row>
    <row r="49" spans="1:9" ht="15" x14ac:dyDescent="0.4">
      <c r="A49" s="9" t="s">
        <v>307</v>
      </c>
      <c r="B49" s="53">
        <v>1051951</v>
      </c>
      <c r="C49" s="53">
        <v>1061986</v>
      </c>
      <c r="D49" s="53">
        <v>1073293</v>
      </c>
      <c r="E49" s="53">
        <v>1087459</v>
      </c>
      <c r="F49" s="53">
        <f>IFERROR(VLOOKUP(A49,[1]Sheet1!$A$1:$B$247,2,FALSE),0)</f>
        <v>1107277</v>
      </c>
      <c r="G49" s="54">
        <f t="shared" si="0"/>
        <v>19818</v>
      </c>
      <c r="H49" s="70">
        <v>2.41E-2</v>
      </c>
    </row>
    <row r="50" spans="1:9" ht="15" x14ac:dyDescent="0.4">
      <c r="A50" s="9" t="s">
        <v>56</v>
      </c>
      <c r="B50" s="53">
        <v>1160277</v>
      </c>
      <c r="C50" s="53">
        <v>1140808</v>
      </c>
      <c r="D50" s="53">
        <v>1117736</v>
      </c>
      <c r="E50" s="53">
        <v>1070185</v>
      </c>
      <c r="F50" s="53">
        <f>IFERROR(VLOOKUP(A50,[1]Sheet1!$A$1:$B$247,2,FALSE),0)</f>
        <v>1043820</v>
      </c>
      <c r="G50" s="54">
        <f t="shared" si="0"/>
        <v>-26365</v>
      </c>
      <c r="H50" s="70">
        <v>2.2700000000000001E-2</v>
      </c>
    </row>
    <row r="51" spans="1:9" ht="15" x14ac:dyDescent="0.4">
      <c r="A51" s="9" t="s">
        <v>57</v>
      </c>
      <c r="B51" s="53">
        <v>901868</v>
      </c>
      <c r="C51" s="53">
        <v>893172</v>
      </c>
      <c r="D51" s="53">
        <v>898736</v>
      </c>
      <c r="E51" s="53">
        <v>896988</v>
      </c>
      <c r="F51" s="53">
        <f>IFERROR(VLOOKUP(A51,[1]Sheet1!$A$1:$B$247,2,FALSE),0)</f>
        <v>906005</v>
      </c>
      <c r="G51" s="54">
        <f t="shared" si="0"/>
        <v>9017</v>
      </c>
      <c r="H51" s="70">
        <v>1.9699999999999999E-2</v>
      </c>
    </row>
    <row r="52" spans="1:9" ht="15" x14ac:dyDescent="0.4">
      <c r="A52" s="9" t="s">
        <v>58</v>
      </c>
      <c r="B52" s="53">
        <v>861706</v>
      </c>
      <c r="C52" s="53">
        <v>846460</v>
      </c>
      <c r="D52" s="53">
        <v>826579</v>
      </c>
      <c r="E52" s="53">
        <v>799855</v>
      </c>
      <c r="F52" s="53">
        <f>IFERROR(VLOOKUP(A52,[1]Sheet1!$A$1:$B$247,2,FALSE),0)</f>
        <v>790743</v>
      </c>
      <c r="G52" s="54">
        <f t="shared" si="0"/>
        <v>-9112</v>
      </c>
      <c r="H52" s="70">
        <v>1.72E-2</v>
      </c>
    </row>
    <row r="53" spans="1:9" ht="15" x14ac:dyDescent="0.4">
      <c r="A53" s="9" t="s">
        <v>59</v>
      </c>
      <c r="B53" s="53">
        <v>693526</v>
      </c>
      <c r="C53" s="53">
        <v>692975</v>
      </c>
      <c r="D53" s="53">
        <v>699103</v>
      </c>
      <c r="E53" s="53">
        <v>705850</v>
      </c>
      <c r="F53" s="53">
        <f>IFERROR(VLOOKUP(A53,[1]Sheet1!$A$1:$B$247,2,FALSE),0)</f>
        <v>713655</v>
      </c>
      <c r="G53" s="54">
        <f t="shared" si="0"/>
        <v>7805</v>
      </c>
      <c r="H53" s="70">
        <v>1.55E-2</v>
      </c>
    </row>
    <row r="54" spans="1:9" ht="15" x14ac:dyDescent="0.4">
      <c r="A54" s="9" t="s">
        <v>60</v>
      </c>
      <c r="B54" s="53">
        <v>530958</v>
      </c>
      <c r="C54" s="53">
        <v>528398</v>
      </c>
      <c r="D54" s="53">
        <v>525545</v>
      </c>
      <c r="E54" s="53">
        <v>523228</v>
      </c>
      <c r="F54" s="53">
        <f>IFERROR(VLOOKUP(A54,[1]Sheet1!$A$1:$B$247,2,FALSE),0)</f>
        <v>527565</v>
      </c>
      <c r="G54" s="54">
        <f t="shared" si="0"/>
        <v>4337</v>
      </c>
      <c r="H54" s="70">
        <v>1.15E-2</v>
      </c>
    </row>
    <row r="55" spans="1:9" ht="15" x14ac:dyDescent="0.4">
      <c r="A55" s="9" t="s">
        <v>61</v>
      </c>
      <c r="B55" s="53">
        <v>428671</v>
      </c>
      <c r="C55" s="53">
        <v>427439</v>
      </c>
      <c r="D55" s="53">
        <v>427230</v>
      </c>
      <c r="E55" s="53">
        <v>427976</v>
      </c>
      <c r="F55" s="53">
        <f>IFERROR(VLOOKUP(A55,[1]Sheet1!$A$1:$B$247,2,FALSE),0)</f>
        <v>429479</v>
      </c>
      <c r="G55" s="54">
        <f t="shared" si="0"/>
        <v>1503</v>
      </c>
      <c r="H55" s="70">
        <v>9.2999999999999992E-3</v>
      </c>
    </row>
    <row r="56" spans="1:9" ht="15" x14ac:dyDescent="0.4">
      <c r="A56" s="9" t="s">
        <v>62</v>
      </c>
      <c r="B56" s="53">
        <v>341109</v>
      </c>
      <c r="C56" s="53">
        <v>328655</v>
      </c>
      <c r="D56" s="53">
        <v>326236</v>
      </c>
      <c r="E56" s="53">
        <v>333471</v>
      </c>
      <c r="F56" s="53">
        <f>IFERROR(VLOOKUP(A56,[1]Sheet1!$A$1:$B$247,2,FALSE),0)</f>
        <v>338771</v>
      </c>
      <c r="G56" s="54">
        <f t="shared" si="0"/>
        <v>5300</v>
      </c>
      <c r="H56" s="70">
        <v>7.4000000000000003E-3</v>
      </c>
    </row>
    <row r="57" spans="1:9" ht="15" x14ac:dyDescent="0.4">
      <c r="A57" s="9" t="s">
        <v>63</v>
      </c>
      <c r="B57" s="53">
        <v>331486</v>
      </c>
      <c r="C57" s="53">
        <v>325999</v>
      </c>
      <c r="D57" s="53">
        <v>320693</v>
      </c>
      <c r="E57" s="53">
        <v>315412</v>
      </c>
      <c r="F57" s="53">
        <f>IFERROR(VLOOKUP(A57,[1]Sheet1!$A$1:$B$247,2,FALSE),0)</f>
        <v>321573</v>
      </c>
      <c r="G57" s="54">
        <f t="shared" si="0"/>
        <v>6161</v>
      </c>
      <c r="H57" s="70">
        <v>7.0000000000000001E-3</v>
      </c>
    </row>
    <row r="58" spans="1:9" ht="15" x14ac:dyDescent="0.4">
      <c r="A58" s="9" t="s">
        <v>308</v>
      </c>
      <c r="B58" s="53">
        <v>150011</v>
      </c>
      <c r="C58" s="53">
        <v>173175</v>
      </c>
      <c r="D58" s="53">
        <v>200917</v>
      </c>
      <c r="E58" s="53">
        <v>228233</v>
      </c>
      <c r="F58" s="53">
        <f>IFERROR(VLOOKUP(A58,[1]Sheet1!$A$1:$B$247,2,FALSE),0)</f>
        <v>252951</v>
      </c>
      <c r="G58" s="54">
        <f t="shared" si="0"/>
        <v>24718</v>
      </c>
      <c r="H58" s="70">
        <v>5.4999999999999997E-3</v>
      </c>
    </row>
    <row r="59" spans="1:9" ht="15" x14ac:dyDescent="0.4">
      <c r="A59" s="9" t="s">
        <v>64</v>
      </c>
      <c r="B59" s="53">
        <v>250748</v>
      </c>
      <c r="C59" s="53">
        <v>246558</v>
      </c>
      <c r="D59" s="53">
        <v>242557</v>
      </c>
      <c r="E59" s="53">
        <v>235870</v>
      </c>
      <c r="F59" s="53">
        <f>IFERROR(VLOOKUP(A59,[1]Sheet1!$A$1:$B$247,2,FALSE),0)</f>
        <v>235325</v>
      </c>
      <c r="G59" s="54">
        <f t="shared" si="0"/>
        <v>-545</v>
      </c>
      <c r="H59" s="70">
        <v>5.1000000000000004E-3</v>
      </c>
    </row>
    <row r="60" spans="1:9" ht="15" x14ac:dyDescent="0.4">
      <c r="A60" s="9" t="s">
        <v>66</v>
      </c>
      <c r="B60" s="53">
        <v>216303</v>
      </c>
      <c r="C60" s="53">
        <v>214157</v>
      </c>
      <c r="D60" s="53">
        <v>211409</v>
      </c>
      <c r="E60" s="53">
        <v>209053</v>
      </c>
      <c r="F60" s="53">
        <f>IFERROR(VLOOKUP(A60,[1]Sheet1!$A$1:$B$247,2,FALSE),0)</f>
        <v>209373</v>
      </c>
      <c r="G60" s="54">
        <f t="shared" si="0"/>
        <v>320</v>
      </c>
      <c r="H60" s="70">
        <v>4.5999999999999999E-3</v>
      </c>
    </row>
    <row r="61" spans="1:9" ht="15" x14ac:dyDescent="0.4">
      <c r="A61" s="9" t="s">
        <v>67</v>
      </c>
      <c r="B61" s="53">
        <v>213303</v>
      </c>
      <c r="C61" s="53">
        <v>204418</v>
      </c>
      <c r="D61" s="53">
        <v>200794</v>
      </c>
      <c r="E61" s="53">
        <v>200004</v>
      </c>
      <c r="F61" s="53">
        <f>IFERROR(VLOOKUP(A61,[1]Sheet1!$A$1:$B$247,2,FALSE),0)</f>
        <v>205141</v>
      </c>
      <c r="G61" s="54">
        <f t="shared" si="0"/>
        <v>5137</v>
      </c>
      <c r="H61" s="70">
        <v>4.4999999999999997E-3</v>
      </c>
      <c r="I61" s="71">
        <f>SUM(H42:H61)</f>
        <v>0.88409999999999977</v>
      </c>
    </row>
    <row r="62" spans="1:9" ht="15" x14ac:dyDescent="0.4">
      <c r="A62" s="9" t="s">
        <v>68</v>
      </c>
      <c r="B62" s="53">
        <v>200810</v>
      </c>
      <c r="C62" s="53">
        <v>196906</v>
      </c>
      <c r="D62" s="53">
        <v>195684</v>
      </c>
      <c r="E62" s="53">
        <v>195119</v>
      </c>
      <c r="F62" s="53">
        <f>IFERROR(VLOOKUP(A62,[1]Sheet1!$A$1:$B$247,2,FALSE),0)</f>
        <v>196429</v>
      </c>
      <c r="G62" s="54">
        <f t="shared" si="0"/>
        <v>1310</v>
      </c>
    </row>
    <row r="63" spans="1:9" ht="15" x14ac:dyDescent="0.4">
      <c r="A63" s="9" t="s">
        <v>65</v>
      </c>
      <c r="B63" s="53">
        <v>232231</v>
      </c>
      <c r="C63" s="53">
        <v>218110</v>
      </c>
      <c r="D63" s="53">
        <v>205640</v>
      </c>
      <c r="E63" s="53">
        <v>197004</v>
      </c>
      <c r="F63" s="53">
        <f>IFERROR(VLOOKUP(A63,[1]Sheet1!$A$1:$B$247,2,FALSE),0)</f>
        <v>191277</v>
      </c>
      <c r="G63" s="54">
        <f t="shared" si="0"/>
        <v>-5727</v>
      </c>
    </row>
    <row r="64" spans="1:9" ht="15" x14ac:dyDescent="0.4">
      <c r="A64" s="9" t="s">
        <v>69</v>
      </c>
      <c r="B64" s="53">
        <v>160107</v>
      </c>
      <c r="C64" s="53">
        <v>159440</v>
      </c>
      <c r="D64" s="53">
        <v>159037</v>
      </c>
      <c r="E64" s="53">
        <v>158675</v>
      </c>
      <c r="F64" s="53">
        <f>IFERROR(VLOOKUP(A64,[1]Sheet1!$A$1:$B$247,2,FALSE),0)</f>
        <v>159798</v>
      </c>
      <c r="G64" s="54">
        <f t="shared" si="0"/>
        <v>1123</v>
      </c>
    </row>
    <row r="65" spans="1:7" ht="15" x14ac:dyDescent="0.4">
      <c r="A65" s="9" t="s">
        <v>70</v>
      </c>
      <c r="B65" s="53">
        <v>148522</v>
      </c>
      <c r="C65" s="53">
        <v>150229</v>
      </c>
      <c r="D65" s="53">
        <v>150536</v>
      </c>
      <c r="E65" s="53">
        <v>150979</v>
      </c>
      <c r="F65" s="53">
        <f>IFERROR(VLOOKUP(A65,[1]Sheet1!$A$1:$B$247,2,FALSE),0)</f>
        <v>152440</v>
      </c>
      <c r="G65" s="54">
        <f t="shared" si="0"/>
        <v>1461</v>
      </c>
    </row>
    <row r="66" spans="1:7" ht="15" x14ac:dyDescent="0.4">
      <c r="A66" s="9" t="s">
        <v>72</v>
      </c>
      <c r="B66" s="53">
        <v>137916</v>
      </c>
      <c r="C66" s="53">
        <v>139764</v>
      </c>
      <c r="D66" s="53">
        <v>142859</v>
      </c>
      <c r="E66" s="53">
        <v>147559</v>
      </c>
      <c r="F66" s="53">
        <f>IFERROR(VLOOKUP(A66,[1]Sheet1!$A$1:$B$247,2,FALSE),0)</f>
        <v>150445</v>
      </c>
      <c r="G66" s="54">
        <f t="shared" si="0"/>
        <v>2886</v>
      </c>
    </row>
    <row r="67" spans="1:7" ht="15" x14ac:dyDescent="0.4">
      <c r="A67" s="9" t="s">
        <v>71</v>
      </c>
      <c r="B67" s="53">
        <v>141361</v>
      </c>
      <c r="C67" s="53">
        <v>140472</v>
      </c>
      <c r="D67" s="53">
        <v>139547</v>
      </c>
      <c r="E67" s="53">
        <v>138269</v>
      </c>
      <c r="F67" s="53">
        <f>IFERROR(VLOOKUP(A67,[1]Sheet1!$A$1:$B$247,2,FALSE),0)</f>
        <v>138989</v>
      </c>
      <c r="G67" s="54">
        <f t="shared" si="0"/>
        <v>720</v>
      </c>
    </row>
    <row r="68" spans="1:7" ht="15" x14ac:dyDescent="0.4">
      <c r="A68" s="9" t="s">
        <v>74</v>
      </c>
      <c r="B68" s="53">
        <v>135763</v>
      </c>
      <c r="C68" s="53">
        <v>135939</v>
      </c>
      <c r="D68" s="53">
        <v>135568</v>
      </c>
      <c r="E68" s="53">
        <v>134846</v>
      </c>
      <c r="F68" s="53">
        <f>IFERROR(VLOOKUP(A68,[1]Sheet1!$A$1:$B$247,2,FALSE),0)</f>
        <v>135770</v>
      </c>
      <c r="G68" s="54">
        <f t="shared" si="0"/>
        <v>924</v>
      </c>
    </row>
    <row r="69" spans="1:7" ht="15" x14ac:dyDescent="0.4">
      <c r="A69" s="9" t="s">
        <v>305</v>
      </c>
      <c r="B69" s="66">
        <v>67432</v>
      </c>
      <c r="C69" s="66">
        <v>78929</v>
      </c>
      <c r="D69" s="66">
        <v>97793</v>
      </c>
      <c r="E69" s="66">
        <v>115409</v>
      </c>
      <c r="F69" s="53">
        <f>IFERROR(VLOOKUP(A69,[1]Sheet1!$A$1:$B$247,2,FALSE),0)</f>
        <v>134637</v>
      </c>
      <c r="G69" s="54">
        <f t="shared" si="0"/>
        <v>19228</v>
      </c>
    </row>
    <row r="70" spans="1:7" ht="15" x14ac:dyDescent="0.4">
      <c r="A70" s="9" t="s">
        <v>190</v>
      </c>
      <c r="B70" s="53" t="s">
        <v>134</v>
      </c>
      <c r="C70" s="53">
        <v>129249</v>
      </c>
      <c r="D70" s="53">
        <v>128998</v>
      </c>
      <c r="E70" s="53">
        <v>128725</v>
      </c>
      <c r="F70" s="53">
        <f>IFERROR(VLOOKUP(A70,[1]Sheet1!$A$1:$B$247,2,FALSE),0)</f>
        <v>130489</v>
      </c>
      <c r="G70" s="54">
        <f t="shared" si="0"/>
        <v>1764</v>
      </c>
    </row>
    <row r="71" spans="1:7" ht="15" x14ac:dyDescent="0.4">
      <c r="A71" s="9" t="s">
        <v>73</v>
      </c>
      <c r="B71" s="53">
        <v>136847</v>
      </c>
      <c r="C71" s="53">
        <v>135953</v>
      </c>
      <c r="D71" s="53">
        <v>134914</v>
      </c>
      <c r="E71" s="53">
        <v>132076</v>
      </c>
      <c r="F71" s="53">
        <f>IFERROR(VLOOKUP(A71,[1]Sheet1!$A$1:$B$247,2,FALSE),0)</f>
        <v>129369</v>
      </c>
      <c r="G71" s="54">
        <f t="shared" si="0"/>
        <v>-2707</v>
      </c>
    </row>
    <row r="72" spans="1:7" ht="15" x14ac:dyDescent="0.4">
      <c r="A72" s="9" t="s">
        <v>75</v>
      </c>
      <c r="B72" s="53">
        <v>114615</v>
      </c>
      <c r="C72" s="53">
        <v>114277</v>
      </c>
      <c r="D72" s="53">
        <v>113946</v>
      </c>
      <c r="E72" s="53">
        <v>113113</v>
      </c>
      <c r="F72" s="53">
        <f>IFERROR(VLOOKUP(A72,[1]Sheet1!$A$1:$B$247,2,FALSE),0)</f>
        <v>113671</v>
      </c>
      <c r="G72" s="54">
        <f t="shared" si="0"/>
        <v>558</v>
      </c>
    </row>
    <row r="73" spans="1:7" ht="15" x14ac:dyDescent="0.4">
      <c r="A73" s="9" t="s">
        <v>170</v>
      </c>
      <c r="B73" s="53" t="s">
        <v>134</v>
      </c>
      <c r="C73" s="53">
        <v>99589</v>
      </c>
      <c r="D73" s="53">
        <v>99205</v>
      </c>
      <c r="E73" s="53">
        <v>98797</v>
      </c>
      <c r="F73" s="53">
        <f>IFERROR(VLOOKUP(A73,[1]Sheet1!$A$1:$B$247,2,FALSE),0)</f>
        <v>99576</v>
      </c>
      <c r="G73" s="54">
        <f t="shared" si="0"/>
        <v>779</v>
      </c>
    </row>
    <row r="74" spans="1:7" ht="15" x14ac:dyDescent="0.4">
      <c r="A74" s="9" t="s">
        <v>78</v>
      </c>
      <c r="B74" s="53">
        <v>92923</v>
      </c>
      <c r="C74" s="53">
        <v>94318</v>
      </c>
      <c r="D74" s="53">
        <v>94921</v>
      </c>
      <c r="E74" s="53">
        <v>94569</v>
      </c>
      <c r="F74" s="53">
        <f>IFERROR(VLOOKUP(A74,[1]Sheet1!$A$1:$B$247,2,FALSE),0)</f>
        <v>95661</v>
      </c>
      <c r="G74" s="54">
        <f t="shared" ref="G74:G98" si="1">F74-E74</f>
        <v>1092</v>
      </c>
    </row>
    <row r="75" spans="1:7" ht="15" x14ac:dyDescent="0.4">
      <c r="A75" s="9" t="s">
        <v>77</v>
      </c>
      <c r="B75" s="53">
        <v>93621</v>
      </c>
      <c r="C75" s="53">
        <v>94158</v>
      </c>
      <c r="D75" s="53">
        <v>94434</v>
      </c>
      <c r="E75" s="53">
        <v>94092</v>
      </c>
      <c r="F75" s="53">
        <f>IFERROR(VLOOKUP(A75,[1]Sheet1!$A$1:$B$247,2,FALSE),0)</f>
        <v>95042</v>
      </c>
      <c r="G75" s="54">
        <f t="shared" si="1"/>
        <v>950</v>
      </c>
    </row>
    <row r="76" spans="1:7" ht="15" x14ac:dyDescent="0.4">
      <c r="A76" s="9" t="s">
        <v>76</v>
      </c>
      <c r="B76" s="53">
        <v>98418</v>
      </c>
      <c r="C76" s="53">
        <v>97036</v>
      </c>
      <c r="D76" s="53">
        <v>95404</v>
      </c>
      <c r="E76" s="53">
        <v>93846</v>
      </c>
      <c r="F76" s="53">
        <f>IFERROR(VLOOKUP(A76,[1]Sheet1!$A$1:$B$247,2,FALSE),0)</f>
        <v>93517</v>
      </c>
      <c r="G76" s="54">
        <f t="shared" si="1"/>
        <v>-329</v>
      </c>
    </row>
    <row r="77" spans="1:7" ht="15" x14ac:dyDescent="0.4">
      <c r="A77" s="9" t="s">
        <v>304</v>
      </c>
      <c r="B77" s="53">
        <v>66717</v>
      </c>
      <c r="C77" s="53">
        <v>70840</v>
      </c>
      <c r="D77" s="53">
        <v>75621</v>
      </c>
      <c r="E77" s="53">
        <v>78995</v>
      </c>
      <c r="F77" s="53">
        <f>IFERROR(VLOOKUP(A77,[1]Sheet1!$A$1:$B$247,2,FALSE),0)</f>
        <v>80710</v>
      </c>
      <c r="G77" s="54">
        <f t="shared" si="1"/>
        <v>1715</v>
      </c>
    </row>
    <row r="78" spans="1:7" ht="15" x14ac:dyDescent="0.4">
      <c r="A78" s="9" t="s">
        <v>79</v>
      </c>
      <c r="B78" s="53">
        <v>78034</v>
      </c>
      <c r="C78" s="53">
        <v>77846</v>
      </c>
      <c r="D78" s="53">
        <v>77775</v>
      </c>
      <c r="E78" s="53">
        <v>77318</v>
      </c>
      <c r="F78" s="53">
        <f>IFERROR(VLOOKUP(A78,[1]Sheet1!$A$1:$B$247,2,FALSE),0)</f>
        <v>77966</v>
      </c>
      <c r="G78" s="54">
        <f t="shared" si="1"/>
        <v>648</v>
      </c>
    </row>
    <row r="79" spans="1:7" ht="15" x14ac:dyDescent="0.4">
      <c r="A79" s="9" t="s">
        <v>81</v>
      </c>
      <c r="B79" s="53">
        <v>74762</v>
      </c>
      <c r="C79" s="53">
        <v>74247</v>
      </c>
      <c r="D79" s="53">
        <v>73606</v>
      </c>
      <c r="E79" s="53">
        <v>73336</v>
      </c>
      <c r="F79" s="53">
        <f>IFERROR(VLOOKUP(A79,[1]Sheet1!$A$1:$B$247,2,FALSE),0)</f>
        <v>74320</v>
      </c>
      <c r="G79" s="54">
        <f t="shared" si="1"/>
        <v>984</v>
      </c>
    </row>
    <row r="80" spans="1:7" ht="15" x14ac:dyDescent="0.4">
      <c r="A80" s="9" t="s">
        <v>80</v>
      </c>
      <c r="B80" s="53">
        <v>75976</v>
      </c>
      <c r="C80" s="53">
        <v>74852</v>
      </c>
      <c r="D80" s="53">
        <v>74490</v>
      </c>
      <c r="E80" s="53">
        <v>73093</v>
      </c>
      <c r="F80" s="53">
        <f>IFERROR(VLOOKUP(A80,[1]Sheet1!$A$1:$B$247,2,FALSE),0)</f>
        <v>73251</v>
      </c>
      <c r="G80" s="54">
        <f t="shared" si="1"/>
        <v>158</v>
      </c>
    </row>
    <row r="81" spans="1:7" ht="15" x14ac:dyDescent="0.4">
      <c r="A81" s="9" t="s">
        <v>82</v>
      </c>
      <c r="B81" s="53">
        <v>68417</v>
      </c>
      <c r="C81" s="53">
        <v>68170</v>
      </c>
      <c r="D81" s="53">
        <v>68006</v>
      </c>
      <c r="E81" s="53">
        <v>67870</v>
      </c>
      <c r="F81" s="53">
        <f>IFERROR(VLOOKUP(A81,[1]Sheet1!$A$1:$B$247,2,FALSE),0)</f>
        <v>68323</v>
      </c>
      <c r="G81" s="54">
        <f t="shared" si="1"/>
        <v>453</v>
      </c>
    </row>
    <row r="82" spans="1:7" ht="15" x14ac:dyDescent="0.4">
      <c r="A82" s="67" t="s">
        <v>83</v>
      </c>
      <c r="B82" s="68">
        <v>60870</v>
      </c>
      <c r="C82" s="68">
        <v>61502</v>
      </c>
      <c r="D82" s="68">
        <v>62948</v>
      </c>
      <c r="E82" s="68">
        <v>64284</v>
      </c>
      <c r="F82" s="53">
        <f>IFERROR(VLOOKUP(A82,[1]Sheet1!$A$1:$B$247,2,FALSE),0)</f>
        <v>65587</v>
      </c>
      <c r="G82" s="69">
        <f t="shared" si="1"/>
        <v>1303</v>
      </c>
    </row>
    <row r="83" spans="1:7" ht="15" x14ac:dyDescent="0.4">
      <c r="A83" s="9" t="s">
        <v>91</v>
      </c>
      <c r="B83" s="53">
        <v>50875</v>
      </c>
      <c r="C83" s="53">
        <v>55255</v>
      </c>
      <c r="D83" s="53">
        <v>56834</v>
      </c>
      <c r="E83" s="53">
        <v>57087</v>
      </c>
      <c r="F83" s="53">
        <f>IFERROR(VLOOKUP(A83,[1]Sheet1!$A$1:$B$247,2,FALSE),0)</f>
        <v>59175</v>
      </c>
      <c r="G83" s="54">
        <f t="shared" si="1"/>
        <v>2088</v>
      </c>
    </row>
    <row r="84" spans="1:7" ht="15" x14ac:dyDescent="0.4">
      <c r="A84" s="9" t="s">
        <v>85</v>
      </c>
      <c r="B84" s="53">
        <v>58508</v>
      </c>
      <c r="C84" s="53">
        <v>58384</v>
      </c>
      <c r="D84" s="53">
        <v>58061</v>
      </c>
      <c r="E84" s="53">
        <v>58016</v>
      </c>
      <c r="F84" s="53">
        <f>IFERROR(VLOOKUP(A84,[1]Sheet1!$A$1:$B$247,2,FALSE),0)</f>
        <v>58790</v>
      </c>
      <c r="G84" s="54">
        <f t="shared" si="1"/>
        <v>774</v>
      </c>
    </row>
    <row r="85" spans="1:7" ht="15" x14ac:dyDescent="0.4">
      <c r="A85" s="9" t="s">
        <v>84</v>
      </c>
      <c r="B85" s="53">
        <v>59213</v>
      </c>
      <c r="C85" s="53">
        <v>59002</v>
      </c>
      <c r="D85" s="53">
        <v>58689</v>
      </c>
      <c r="E85" s="53">
        <v>58303</v>
      </c>
      <c r="F85" s="53">
        <f>IFERROR(VLOOKUP(A85,[1]Sheet1!$A$1:$B$247,2,FALSE),0)</f>
        <v>58595</v>
      </c>
      <c r="G85" s="54">
        <f t="shared" si="1"/>
        <v>292</v>
      </c>
    </row>
    <row r="86" spans="1:7" ht="15" x14ac:dyDescent="0.4">
      <c r="A86" s="9" t="s">
        <v>86</v>
      </c>
      <c r="B86" s="53">
        <v>58332</v>
      </c>
      <c r="C86" s="53">
        <v>57609</v>
      </c>
      <c r="D86" s="53">
        <v>58672</v>
      </c>
      <c r="E86" s="53">
        <v>57893</v>
      </c>
      <c r="F86" s="53">
        <f>IFERROR(VLOOKUP(A86,[1]Sheet1!$A$1:$B$247,2,FALSE),0)</f>
        <v>57746</v>
      </c>
      <c r="G86" s="54">
        <f t="shared" si="1"/>
        <v>-147</v>
      </c>
    </row>
    <row r="87" spans="1:7" ht="15" x14ac:dyDescent="0.4">
      <c r="A87" s="9" t="s">
        <v>89</v>
      </c>
      <c r="B87" s="53">
        <v>53173</v>
      </c>
      <c r="C87" s="53">
        <v>53485</v>
      </c>
      <c r="D87" s="53">
        <v>53914</v>
      </c>
      <c r="E87" s="53">
        <v>54143</v>
      </c>
      <c r="F87" s="53">
        <f>IFERROR(VLOOKUP(A87,[1]Sheet1!$A$1:$B$247,2,FALSE),0)</f>
        <v>54730</v>
      </c>
      <c r="G87" s="54">
        <f t="shared" si="1"/>
        <v>587</v>
      </c>
    </row>
    <row r="88" spans="1:7" ht="15" x14ac:dyDescent="0.4">
      <c r="A88" s="9" t="s">
        <v>88</v>
      </c>
      <c r="B88" s="53">
        <v>53907</v>
      </c>
      <c r="C88" s="53">
        <v>53754</v>
      </c>
      <c r="D88" s="53">
        <v>53467</v>
      </c>
      <c r="E88" s="53">
        <v>53024</v>
      </c>
      <c r="F88" s="53">
        <f>IFERROR(VLOOKUP(A88,[1]Sheet1!$A$1:$B$247,2,FALSE),0)</f>
        <v>53609</v>
      </c>
      <c r="G88" s="54">
        <f t="shared" si="1"/>
        <v>585</v>
      </c>
    </row>
    <row r="89" spans="1:7" ht="15" x14ac:dyDescent="0.4">
      <c r="A89" s="9" t="s">
        <v>93</v>
      </c>
      <c r="B89" s="53">
        <v>50359</v>
      </c>
      <c r="C89" s="53">
        <v>49201</v>
      </c>
      <c r="D89" s="53">
        <v>48322</v>
      </c>
      <c r="E89" s="53">
        <v>52198</v>
      </c>
      <c r="F89" s="53">
        <f>IFERROR(VLOOKUP(A89,[1]Sheet1!$A$1:$B$247,2,FALSE),0)</f>
        <v>53166</v>
      </c>
      <c r="G89" s="54">
        <f t="shared" si="1"/>
        <v>968</v>
      </c>
    </row>
    <row r="90" spans="1:7" ht="15" x14ac:dyDescent="0.4">
      <c r="A90" s="9" t="s">
        <v>87</v>
      </c>
      <c r="B90" s="53">
        <v>54618</v>
      </c>
      <c r="C90" s="53">
        <v>54061</v>
      </c>
      <c r="D90" s="53">
        <v>53628</v>
      </c>
      <c r="E90" s="53">
        <v>52829</v>
      </c>
      <c r="F90" s="53">
        <f>IFERROR(VLOOKUP(A90,[1]Sheet1!$A$1:$B$247,2,FALSE),0)</f>
        <v>52849</v>
      </c>
      <c r="G90" s="54">
        <f t="shared" si="1"/>
        <v>20</v>
      </c>
    </row>
    <row r="91" spans="1:7" ht="15" x14ac:dyDescent="0.4">
      <c r="A91" s="9" t="s">
        <v>165</v>
      </c>
      <c r="B91" s="53" t="s">
        <v>134</v>
      </c>
      <c r="C91" s="53">
        <v>49852</v>
      </c>
      <c r="D91" s="53">
        <v>49948</v>
      </c>
      <c r="E91" s="53">
        <v>49825</v>
      </c>
      <c r="F91" s="53">
        <f>IFERROR(VLOOKUP(A91,[1]Sheet1!$A$1:$B$247,2,FALSE),0)</f>
        <v>50582</v>
      </c>
      <c r="G91" s="54">
        <f t="shared" si="1"/>
        <v>757</v>
      </c>
    </row>
    <row r="92" spans="1:7" ht="15" x14ac:dyDescent="0.4">
      <c r="A92" s="9" t="s">
        <v>92</v>
      </c>
      <c r="B92" s="53">
        <v>50631</v>
      </c>
      <c r="C92" s="53">
        <v>50328</v>
      </c>
      <c r="D92" s="53">
        <v>50212</v>
      </c>
      <c r="E92" s="53">
        <v>50340</v>
      </c>
      <c r="F92" s="53">
        <f>IFERROR(VLOOKUP(A92,[1]Sheet1!$A$1:$B$247,2,FALSE),0)</f>
        <v>50474</v>
      </c>
      <c r="G92" s="54">
        <f t="shared" si="1"/>
        <v>134</v>
      </c>
    </row>
    <row r="93" spans="1:7" ht="15" x14ac:dyDescent="0.4">
      <c r="A93" s="9" t="s">
        <v>90</v>
      </c>
      <c r="B93" s="53">
        <v>52199</v>
      </c>
      <c r="C93" s="53">
        <v>51417</v>
      </c>
      <c r="D93" s="53">
        <v>50618</v>
      </c>
      <c r="E93" s="53">
        <v>50066</v>
      </c>
      <c r="F93" s="53">
        <f>IFERROR(VLOOKUP(A93,[1]Sheet1!$A$1:$B$247,2,FALSE),0)</f>
        <v>50324</v>
      </c>
      <c r="G93" s="54">
        <f t="shared" si="1"/>
        <v>258</v>
      </c>
    </row>
    <row r="94" spans="1:7" ht="15" x14ac:dyDescent="0.4">
      <c r="A94" s="9" t="s">
        <v>309</v>
      </c>
      <c r="B94" s="53">
        <v>49090</v>
      </c>
      <c r="C94" s="53">
        <v>48841</v>
      </c>
      <c r="D94" s="53">
        <v>0</v>
      </c>
      <c r="E94" s="53">
        <v>48520</v>
      </c>
      <c r="F94" s="53">
        <f>IFERROR(VLOOKUP(A94,[1]Sheet1!$A$1:$B$247,2,FALSE),0)</f>
        <v>48869</v>
      </c>
      <c r="G94" s="54">
        <f t="shared" si="1"/>
        <v>349</v>
      </c>
    </row>
    <row r="95" spans="1:7" ht="15" x14ac:dyDescent="0.4">
      <c r="A95" s="9" t="s">
        <v>94</v>
      </c>
      <c r="B95" s="53">
        <v>46756</v>
      </c>
      <c r="C95" s="53">
        <v>46908</v>
      </c>
      <c r="D95" s="53">
        <v>46989</v>
      </c>
      <c r="E95" s="53">
        <v>46717</v>
      </c>
      <c r="F95" s="53">
        <f>IFERROR(VLOOKUP(A95,[1]Sheet1!$A$1:$B$247,2,FALSE),0)</f>
        <v>47246</v>
      </c>
      <c r="G95" s="54">
        <f t="shared" si="1"/>
        <v>529</v>
      </c>
    </row>
    <row r="96" spans="1:7" ht="15" x14ac:dyDescent="0.4">
      <c r="A96" s="9" t="s">
        <v>95</v>
      </c>
      <c r="B96" s="53">
        <v>45080</v>
      </c>
      <c r="C96" s="53">
        <v>45054</v>
      </c>
      <c r="D96" s="53">
        <v>45034</v>
      </c>
      <c r="E96" s="53">
        <v>44833</v>
      </c>
      <c r="F96" s="53">
        <f>IFERROR(VLOOKUP(A96,[1]Sheet1!$A$1:$B$247,2,FALSE),0)</f>
        <v>45039</v>
      </c>
      <c r="G96" s="54">
        <f t="shared" si="1"/>
        <v>206</v>
      </c>
    </row>
    <row r="97" spans="1:7" ht="15" x14ac:dyDescent="0.4">
      <c r="A97" s="9" t="s">
        <v>306</v>
      </c>
      <c r="B97" s="53" t="s">
        <v>134</v>
      </c>
      <c r="C97" s="53">
        <v>13659</v>
      </c>
      <c r="D97" s="53">
        <v>17543</v>
      </c>
      <c r="E97" s="53">
        <v>32150</v>
      </c>
      <c r="F97" s="53">
        <f>IFERROR(VLOOKUP(A97,[1]Sheet1!$A$1:$B$247,2,FALSE),0)</f>
        <v>41057</v>
      </c>
      <c r="G97" s="54">
        <f t="shared" si="1"/>
        <v>8907</v>
      </c>
    </row>
    <row r="98" spans="1:7" ht="15" x14ac:dyDescent="0.4">
      <c r="A98" s="9" t="s">
        <v>96</v>
      </c>
      <c r="B98" s="53">
        <v>38116</v>
      </c>
      <c r="C98" s="53">
        <v>38450</v>
      </c>
      <c r="D98" s="53">
        <v>38969</v>
      </c>
      <c r="E98" s="53">
        <v>39578</v>
      </c>
      <c r="F98" s="53">
        <f>IFERROR(VLOOKUP(A98,[1]Sheet1!$A$1:$B$247,2,FALSE),0)</f>
        <v>40239</v>
      </c>
      <c r="G98" s="54">
        <f t="shared" si="1"/>
        <v>661</v>
      </c>
    </row>
    <row r="99" spans="1:7" ht="15" x14ac:dyDescent="0.4">
      <c r="A99" s="9" t="s">
        <v>310</v>
      </c>
      <c r="B99" s="53" t="s">
        <v>162</v>
      </c>
      <c r="C99" s="53" t="s">
        <v>162</v>
      </c>
      <c r="D99" s="53" t="s">
        <v>162</v>
      </c>
      <c r="E99" s="53" t="s">
        <v>162</v>
      </c>
      <c r="F99" s="53">
        <f>IFERROR(VLOOKUP(A99,[1]Sheet1!$A$1:$B$247,2,FALSE),0)</f>
        <v>0</v>
      </c>
      <c r="G99" s="54">
        <v>0</v>
      </c>
    </row>
    <row r="100" spans="1:7" ht="15" x14ac:dyDescent="0.4">
      <c r="A100" s="9" t="s">
        <v>97</v>
      </c>
      <c r="B100" s="53">
        <v>30548</v>
      </c>
      <c r="C100" s="53">
        <v>31296</v>
      </c>
      <c r="D100" s="53">
        <v>32576</v>
      </c>
      <c r="E100" s="53">
        <v>33761</v>
      </c>
      <c r="F100" s="53">
        <f>IFERROR(VLOOKUP(A100,[1]Sheet1!$A$1:$B$247,2,FALSE),0)</f>
        <v>36105</v>
      </c>
      <c r="G100" s="54">
        <f t="shared" ref="G100:G121" si="2">F100-E100</f>
        <v>2344</v>
      </c>
    </row>
    <row r="101" spans="1:7" ht="15" x14ac:dyDescent="0.4">
      <c r="A101" s="9" t="s">
        <v>164</v>
      </c>
      <c r="B101" s="53" t="s">
        <v>134</v>
      </c>
      <c r="C101" s="53">
        <v>32514</v>
      </c>
      <c r="D101" s="53">
        <v>34550</v>
      </c>
      <c r="E101" s="53">
        <v>34741</v>
      </c>
      <c r="F101" s="53">
        <f>IFERROR(VLOOKUP(A101,[1]Sheet1!$A$1:$B$247,2,FALSE),0)</f>
        <v>34054</v>
      </c>
      <c r="G101" s="54">
        <f t="shared" si="2"/>
        <v>-687</v>
      </c>
    </row>
    <row r="102" spans="1:7" ht="15" x14ac:dyDescent="0.4">
      <c r="A102" s="9" t="s">
        <v>253</v>
      </c>
      <c r="B102" s="53" t="s">
        <v>162</v>
      </c>
      <c r="C102" s="53" t="s">
        <v>162</v>
      </c>
      <c r="D102" s="53" t="s">
        <v>162</v>
      </c>
      <c r="E102" s="53">
        <v>32386</v>
      </c>
      <c r="F102" s="53">
        <f>IFERROR(VLOOKUP(A102,[1]Sheet1!$A$1:$B$247,2,FALSE),0)</f>
        <v>32963</v>
      </c>
      <c r="G102" s="54">
        <f t="shared" si="2"/>
        <v>577</v>
      </c>
    </row>
    <row r="103" spans="1:7" ht="15" x14ac:dyDescent="0.4">
      <c r="A103" s="9" t="s">
        <v>196</v>
      </c>
      <c r="B103" s="53" t="s">
        <v>134</v>
      </c>
      <c r="C103" s="53">
        <v>32971</v>
      </c>
      <c r="D103" s="53">
        <v>32905</v>
      </c>
      <c r="E103" s="53">
        <v>32490</v>
      </c>
      <c r="F103" s="53">
        <f>IFERROR(VLOOKUP(A103,[1]Sheet1!$A$1:$B$247,2,FALSE),0)</f>
        <v>32632</v>
      </c>
      <c r="G103" s="54">
        <f t="shared" si="2"/>
        <v>142</v>
      </c>
    </row>
    <row r="104" spans="1:7" ht="15" x14ac:dyDescent="0.4">
      <c r="A104" s="9" t="s">
        <v>258</v>
      </c>
      <c r="B104" s="53" t="s">
        <v>162</v>
      </c>
      <c r="C104" s="53" t="s">
        <v>162</v>
      </c>
      <c r="D104" s="53" t="s">
        <v>162</v>
      </c>
      <c r="E104" s="53">
        <v>30834</v>
      </c>
      <c r="F104" s="53">
        <f>IFERROR(VLOOKUP(A104,[1]Sheet1!$A$1:$B$247,2,FALSE),0)</f>
        <v>31238</v>
      </c>
      <c r="G104" s="54">
        <f t="shared" si="2"/>
        <v>404</v>
      </c>
    </row>
    <row r="105" spans="1:7" ht="15" x14ac:dyDescent="0.4">
      <c r="A105" s="9" t="s">
        <v>234</v>
      </c>
      <c r="B105" s="53" t="s">
        <v>134</v>
      </c>
      <c r="C105" s="53" t="s">
        <v>134</v>
      </c>
      <c r="D105" s="53">
        <v>26275</v>
      </c>
      <c r="E105" s="53">
        <v>26238</v>
      </c>
      <c r="F105" s="53">
        <f>IFERROR(VLOOKUP(A105,[1]Sheet1!$A$1:$B$247,2,FALSE),0)</f>
        <v>26545</v>
      </c>
      <c r="G105" s="54">
        <f t="shared" si="2"/>
        <v>307</v>
      </c>
    </row>
    <row r="106" spans="1:7" ht="15" x14ac:dyDescent="0.4">
      <c r="A106" s="9" t="s">
        <v>98</v>
      </c>
      <c r="B106" s="53">
        <v>26956</v>
      </c>
      <c r="C106" s="53">
        <v>26821</v>
      </c>
      <c r="D106" s="53">
        <v>26470</v>
      </c>
      <c r="E106" s="53">
        <v>26373</v>
      </c>
      <c r="F106" s="53">
        <f>IFERROR(VLOOKUP(A106,[1]Sheet1!$A$1:$B$247,2,FALSE),0)</f>
        <v>26468</v>
      </c>
      <c r="G106" s="54">
        <f t="shared" si="2"/>
        <v>95</v>
      </c>
    </row>
    <row r="107" spans="1:7" ht="15" x14ac:dyDescent="0.4">
      <c r="A107" s="9" t="s">
        <v>100</v>
      </c>
      <c r="B107" s="53">
        <v>26334</v>
      </c>
      <c r="C107" s="53">
        <v>26111</v>
      </c>
      <c r="D107" s="53">
        <v>25924</v>
      </c>
      <c r="E107" s="53">
        <v>25634</v>
      </c>
      <c r="F107" s="53">
        <f>IFERROR(VLOOKUP(A107,[1]Sheet1!$A$1:$B$247,2,FALSE),0)</f>
        <v>25716</v>
      </c>
      <c r="G107" s="54">
        <f t="shared" si="2"/>
        <v>82</v>
      </c>
    </row>
    <row r="108" spans="1:7" ht="15" x14ac:dyDescent="0.4">
      <c r="A108" s="9" t="s">
        <v>99</v>
      </c>
      <c r="B108" s="53">
        <v>26625</v>
      </c>
      <c r="C108" s="53">
        <v>26193</v>
      </c>
      <c r="D108" s="53">
        <v>25712</v>
      </c>
      <c r="E108" s="53">
        <v>25161</v>
      </c>
      <c r="F108" s="53">
        <f>IFERROR(VLOOKUP(A108,[1]Sheet1!$A$1:$B$247,2,FALSE),0)</f>
        <v>25149</v>
      </c>
      <c r="G108" s="54">
        <f t="shared" si="2"/>
        <v>-12</v>
      </c>
    </row>
    <row r="109" spans="1:7" ht="15" x14ac:dyDescent="0.4">
      <c r="A109" s="9" t="s">
        <v>101</v>
      </c>
      <c r="B109" s="53">
        <v>24548</v>
      </c>
      <c r="C109" s="53">
        <v>24268</v>
      </c>
      <c r="D109" s="53">
        <v>24232</v>
      </c>
      <c r="E109" s="53">
        <v>23651</v>
      </c>
      <c r="F109" s="53">
        <f>IFERROR(VLOOKUP(A109,[1]Sheet1!$A$1:$B$247,2,FALSE),0)</f>
        <v>23567</v>
      </c>
      <c r="G109" s="54">
        <f t="shared" si="2"/>
        <v>-84</v>
      </c>
    </row>
    <row r="110" spans="1:7" ht="15" x14ac:dyDescent="0.4">
      <c r="A110" s="9" t="s">
        <v>219</v>
      </c>
      <c r="B110" s="53" t="s">
        <v>134</v>
      </c>
      <c r="C110" s="53" t="s">
        <v>134</v>
      </c>
      <c r="D110" s="53">
        <v>22385</v>
      </c>
      <c r="E110" s="53">
        <v>22132</v>
      </c>
      <c r="F110" s="53">
        <f>IFERROR(VLOOKUP(A110,[1]Sheet1!$A$1:$B$247,2,FALSE),0)</f>
        <v>22054</v>
      </c>
      <c r="G110" s="54">
        <f t="shared" si="2"/>
        <v>-78</v>
      </c>
    </row>
    <row r="111" spans="1:7" ht="15" x14ac:dyDescent="0.4">
      <c r="A111" s="9" t="s">
        <v>102</v>
      </c>
      <c r="B111" s="53">
        <v>23795</v>
      </c>
      <c r="C111" s="53">
        <v>23274</v>
      </c>
      <c r="D111" s="53">
        <v>22849</v>
      </c>
      <c r="E111" s="53">
        <v>22126</v>
      </c>
      <c r="F111" s="53">
        <f>IFERROR(VLOOKUP(A111,[1]Sheet1!$A$1:$B$247,2,FALSE),0)</f>
        <v>21757</v>
      </c>
      <c r="G111" s="54">
        <f t="shared" si="2"/>
        <v>-369</v>
      </c>
    </row>
    <row r="112" spans="1:7" ht="15" x14ac:dyDescent="0.4">
      <c r="A112" s="9" t="s">
        <v>103</v>
      </c>
      <c r="B112" s="53">
        <v>20524</v>
      </c>
      <c r="C112" s="53">
        <v>20482</v>
      </c>
      <c r="D112" s="53">
        <v>20459</v>
      </c>
      <c r="E112" s="53">
        <v>20346</v>
      </c>
      <c r="F112" s="53">
        <f>IFERROR(VLOOKUP(A112,[1]Sheet1!$A$1:$B$247,2,FALSE),0)</f>
        <v>20500</v>
      </c>
      <c r="G112" s="54">
        <f t="shared" si="2"/>
        <v>154</v>
      </c>
    </row>
    <row r="113" spans="1:7" ht="15" x14ac:dyDescent="0.4">
      <c r="A113" s="9" t="s">
        <v>104</v>
      </c>
      <c r="B113" s="53">
        <v>20087</v>
      </c>
      <c r="C113" s="53">
        <v>20054</v>
      </c>
      <c r="D113" s="53">
        <v>20101</v>
      </c>
      <c r="E113" s="53">
        <v>19722</v>
      </c>
      <c r="F113" s="53">
        <f>IFERROR(VLOOKUP(A113,[1]Sheet1!$A$1:$B$247,2,FALSE),0)</f>
        <v>19842</v>
      </c>
      <c r="G113" s="54">
        <f t="shared" si="2"/>
        <v>120</v>
      </c>
    </row>
    <row r="114" spans="1:7" ht="15" x14ac:dyDescent="0.4">
      <c r="A114" s="9" t="s">
        <v>105</v>
      </c>
      <c r="B114" s="53">
        <v>18607</v>
      </c>
      <c r="C114" s="53">
        <v>18697</v>
      </c>
      <c r="D114" s="53">
        <v>18682</v>
      </c>
      <c r="E114" s="53">
        <v>18541</v>
      </c>
      <c r="F114" s="53">
        <f>IFERROR(VLOOKUP(A114,[1]Sheet1!$A$1:$B$247,2,FALSE),0)</f>
        <v>18705</v>
      </c>
      <c r="G114" s="54">
        <f t="shared" si="2"/>
        <v>164</v>
      </c>
    </row>
    <row r="115" spans="1:7" ht="15" x14ac:dyDescent="0.4">
      <c r="A115" s="9" t="s">
        <v>106</v>
      </c>
      <c r="B115" s="53">
        <v>17361</v>
      </c>
      <c r="C115" s="53">
        <v>17157</v>
      </c>
      <c r="D115" s="53">
        <v>17090</v>
      </c>
      <c r="E115" s="53">
        <v>17099</v>
      </c>
      <c r="F115" s="53">
        <f>IFERROR(VLOOKUP(A115,[1]Sheet1!$A$1:$B$247,2,FALSE),0)</f>
        <v>17413</v>
      </c>
      <c r="G115" s="54">
        <f t="shared" si="2"/>
        <v>314</v>
      </c>
    </row>
    <row r="116" spans="1:7" ht="15" x14ac:dyDescent="0.4">
      <c r="A116" s="9" t="s">
        <v>107</v>
      </c>
      <c r="B116" s="53">
        <v>17123</v>
      </c>
      <c r="C116" s="53">
        <v>16921</v>
      </c>
      <c r="D116" s="53">
        <v>16709</v>
      </c>
      <c r="E116" s="53">
        <v>16437</v>
      </c>
      <c r="F116" s="53">
        <f>IFERROR(VLOOKUP(A116,[1]Sheet1!$A$1:$B$247,2,FALSE),0)</f>
        <v>16321</v>
      </c>
      <c r="G116" s="54">
        <f t="shared" si="2"/>
        <v>-116</v>
      </c>
    </row>
    <row r="117" spans="1:7" ht="15" x14ac:dyDescent="0.4">
      <c r="A117" s="9" t="s">
        <v>235</v>
      </c>
      <c r="B117" s="53" t="s">
        <v>134</v>
      </c>
      <c r="C117" s="53" t="s">
        <v>134</v>
      </c>
      <c r="D117" s="53">
        <v>16646</v>
      </c>
      <c r="E117" s="53">
        <v>15891</v>
      </c>
      <c r="F117" s="53">
        <f>IFERROR(VLOOKUP(A117,[1]Sheet1!$A$1:$B$247,2,FALSE),0)</f>
        <v>15353</v>
      </c>
      <c r="G117" s="54">
        <f t="shared" si="2"/>
        <v>-538</v>
      </c>
    </row>
    <row r="118" spans="1:7" ht="15" x14ac:dyDescent="0.4">
      <c r="A118" s="9" t="s">
        <v>256</v>
      </c>
      <c r="B118" s="53" t="s">
        <v>162</v>
      </c>
      <c r="C118" s="53" t="s">
        <v>162</v>
      </c>
      <c r="D118" s="53" t="s">
        <v>162</v>
      </c>
      <c r="E118" s="53">
        <v>15010</v>
      </c>
      <c r="F118" s="53">
        <f>IFERROR(VLOOKUP(A118,[1]Sheet1!$A$1:$B$247,2,FALSE),0)</f>
        <v>15289</v>
      </c>
      <c r="G118" s="54">
        <f t="shared" si="2"/>
        <v>279</v>
      </c>
    </row>
    <row r="119" spans="1:7" ht="15" x14ac:dyDescent="0.4">
      <c r="A119" s="9" t="s">
        <v>109</v>
      </c>
      <c r="B119" s="53">
        <v>15524</v>
      </c>
      <c r="C119" s="53">
        <v>15041</v>
      </c>
      <c r="D119" s="53">
        <v>14722</v>
      </c>
      <c r="E119" s="53">
        <v>14436</v>
      </c>
      <c r="F119" s="53">
        <f>IFERROR(VLOOKUP(A119,[1]Sheet1!$A$1:$B$247,2,FALSE),0)</f>
        <v>15283</v>
      </c>
      <c r="G119" s="54">
        <f t="shared" si="2"/>
        <v>847</v>
      </c>
    </row>
    <row r="120" spans="1:7" ht="15" x14ac:dyDescent="0.4">
      <c r="A120" s="9" t="s">
        <v>110</v>
      </c>
      <c r="B120" s="53">
        <v>14335</v>
      </c>
      <c r="C120" s="53">
        <v>14367</v>
      </c>
      <c r="D120" s="53">
        <v>14323</v>
      </c>
      <c r="E120" s="53">
        <v>14579</v>
      </c>
      <c r="F120" s="53">
        <f>IFERROR(VLOOKUP(A120,[1]Sheet1!$A$1:$B$247,2,FALSE),0)</f>
        <v>14951</v>
      </c>
      <c r="G120" s="54">
        <f t="shared" si="2"/>
        <v>372</v>
      </c>
    </row>
    <row r="121" spans="1:7" ht="15" x14ac:dyDescent="0.4">
      <c r="A121" s="9" t="s">
        <v>212</v>
      </c>
      <c r="B121" s="53">
        <v>14900</v>
      </c>
      <c r="C121" s="53">
        <v>14915</v>
      </c>
      <c r="D121" s="53">
        <v>15026</v>
      </c>
      <c r="E121" s="53">
        <v>14948</v>
      </c>
      <c r="F121" s="53">
        <f>IFERROR(VLOOKUP(A121,[1]Sheet1!$A$1:$B$247,2,FALSE),0)</f>
        <v>14943</v>
      </c>
      <c r="G121" s="54">
        <f t="shared" si="2"/>
        <v>-5</v>
      </c>
    </row>
    <row r="122" spans="1:7" ht="15" x14ac:dyDescent="0.4">
      <c r="A122" s="9" t="s">
        <v>319</v>
      </c>
      <c r="B122" s="53" t="s">
        <v>162</v>
      </c>
      <c r="C122" s="53" t="s">
        <v>162</v>
      </c>
      <c r="D122" s="53" t="s">
        <v>162</v>
      </c>
      <c r="E122" s="53" t="s">
        <v>162</v>
      </c>
      <c r="F122" s="53">
        <f>IFERROR(VLOOKUP(A122,[1]Sheet1!$A$1:$B$247,2,FALSE),0)</f>
        <v>14234</v>
      </c>
      <c r="G122" s="54">
        <v>0</v>
      </c>
    </row>
    <row r="123" spans="1:7" ht="15" x14ac:dyDescent="0.4">
      <c r="A123" s="9" t="s">
        <v>262</v>
      </c>
      <c r="B123" s="53" t="s">
        <v>162</v>
      </c>
      <c r="C123" s="53" t="s">
        <v>162</v>
      </c>
      <c r="D123" s="53" t="s">
        <v>162</v>
      </c>
      <c r="E123" s="53">
        <v>13966</v>
      </c>
      <c r="F123" s="53">
        <f>IFERROR(VLOOKUP(A123,[1]Sheet1!$A$1:$B$247,2,FALSE),0)</f>
        <v>14188</v>
      </c>
      <c r="G123" s="54">
        <f t="shared" ref="G123:G139" si="3">F123-E123</f>
        <v>222</v>
      </c>
    </row>
    <row r="124" spans="1:7" ht="15" x14ac:dyDescent="0.4">
      <c r="A124" s="9" t="s">
        <v>257</v>
      </c>
      <c r="B124" s="53" t="s">
        <v>162</v>
      </c>
      <c r="C124" s="53" t="s">
        <v>162</v>
      </c>
      <c r="D124" s="53" t="s">
        <v>162</v>
      </c>
      <c r="E124" s="53">
        <v>13579</v>
      </c>
      <c r="F124" s="53">
        <f>IFERROR(VLOOKUP(A124,[1]Sheet1!$A$1:$B$247,2,FALSE),0)</f>
        <v>13638</v>
      </c>
      <c r="G124" s="54">
        <f t="shared" si="3"/>
        <v>59</v>
      </c>
    </row>
    <row r="125" spans="1:7" ht="15" x14ac:dyDescent="0.4">
      <c r="A125" s="9" t="s">
        <v>108</v>
      </c>
      <c r="B125" s="53">
        <v>16494</v>
      </c>
      <c r="C125" s="53">
        <v>15795</v>
      </c>
      <c r="D125" s="53">
        <v>14913</v>
      </c>
      <c r="E125" s="53">
        <v>13988</v>
      </c>
      <c r="F125" s="53">
        <f>IFERROR(VLOOKUP(A125,[1]Sheet1!$A$1:$B$247,2,FALSE),0)</f>
        <v>13270</v>
      </c>
      <c r="G125" s="54">
        <f t="shared" si="3"/>
        <v>-718</v>
      </c>
    </row>
    <row r="126" spans="1:7" ht="15" x14ac:dyDescent="0.4">
      <c r="A126" s="9" t="s">
        <v>111</v>
      </c>
      <c r="B126" s="53">
        <v>13037</v>
      </c>
      <c r="C126" s="53">
        <v>13015</v>
      </c>
      <c r="D126" s="53">
        <v>12911</v>
      </c>
      <c r="E126" s="53">
        <v>12889</v>
      </c>
      <c r="F126" s="53">
        <f>IFERROR(VLOOKUP(A126,[1]Sheet1!$A$1:$B$247,2,FALSE),0)</f>
        <v>12994</v>
      </c>
      <c r="G126" s="54">
        <f t="shared" si="3"/>
        <v>105</v>
      </c>
    </row>
    <row r="127" spans="1:7" ht="15" x14ac:dyDescent="0.4">
      <c r="A127" s="9" t="s">
        <v>114</v>
      </c>
      <c r="B127" s="53">
        <v>12608</v>
      </c>
      <c r="C127" s="53">
        <v>12587</v>
      </c>
      <c r="D127" s="53">
        <v>12544</v>
      </c>
      <c r="E127" s="53">
        <v>12431</v>
      </c>
      <c r="F127" s="53">
        <f>IFERROR(VLOOKUP(A127,[1]Sheet1!$A$1:$B$247,2,FALSE),0)</f>
        <v>12546</v>
      </c>
      <c r="G127" s="54">
        <f t="shared" si="3"/>
        <v>115</v>
      </c>
    </row>
    <row r="128" spans="1:7" ht="15" x14ac:dyDescent="0.4">
      <c r="A128" s="9" t="s">
        <v>113</v>
      </c>
      <c r="B128" s="53">
        <v>12614</v>
      </c>
      <c r="C128" s="53">
        <v>12578</v>
      </c>
      <c r="D128" s="53">
        <v>12445</v>
      </c>
      <c r="E128" s="53">
        <v>12306</v>
      </c>
      <c r="F128" s="53">
        <f>IFERROR(VLOOKUP(A128,[1]Sheet1!$A$1:$B$247,2,FALSE),0)</f>
        <v>12340</v>
      </c>
      <c r="G128" s="54">
        <f t="shared" si="3"/>
        <v>34</v>
      </c>
    </row>
    <row r="129" spans="1:7" ht="15" x14ac:dyDescent="0.4">
      <c r="A129" s="9" t="s">
        <v>112</v>
      </c>
      <c r="B129" s="53">
        <v>12808</v>
      </c>
      <c r="C129" s="53">
        <v>12621</v>
      </c>
      <c r="D129" s="53">
        <v>12457</v>
      </c>
      <c r="E129" s="53">
        <v>12271</v>
      </c>
      <c r="F129" s="53">
        <f>IFERROR(VLOOKUP(A129,[1]Sheet1!$A$1:$B$247,2,FALSE),0)</f>
        <v>12287</v>
      </c>
      <c r="G129" s="54">
        <f t="shared" si="3"/>
        <v>16</v>
      </c>
    </row>
    <row r="130" spans="1:7" ht="15" x14ac:dyDescent="0.4">
      <c r="A130" s="9" t="s">
        <v>221</v>
      </c>
      <c r="B130" s="53" t="s">
        <v>134</v>
      </c>
      <c r="C130" s="53" t="s">
        <v>134</v>
      </c>
      <c r="D130" s="53">
        <v>12112</v>
      </c>
      <c r="E130" s="53">
        <v>11932</v>
      </c>
      <c r="F130" s="53">
        <f>IFERROR(VLOOKUP(A130,[1]Sheet1!$A$1:$B$247,2,FALSE),0)</f>
        <v>11917</v>
      </c>
      <c r="G130" s="54">
        <f t="shared" si="3"/>
        <v>-15</v>
      </c>
    </row>
    <row r="131" spans="1:7" ht="15" x14ac:dyDescent="0.4">
      <c r="A131" s="9" t="s">
        <v>243</v>
      </c>
      <c r="B131" s="53" t="s">
        <v>134</v>
      </c>
      <c r="C131" s="53" t="s">
        <v>134</v>
      </c>
      <c r="D131" s="53">
        <v>11591</v>
      </c>
      <c r="E131" s="53">
        <v>11528</v>
      </c>
      <c r="F131" s="53">
        <f>IFERROR(VLOOKUP(A131,[1]Sheet1!$A$1:$B$247,2,FALSE),0)</f>
        <v>11521</v>
      </c>
      <c r="G131" s="54">
        <f t="shared" si="3"/>
        <v>-7</v>
      </c>
    </row>
    <row r="132" spans="1:7" ht="15" x14ac:dyDescent="0.4">
      <c r="A132" s="9" t="s">
        <v>249</v>
      </c>
      <c r="B132" s="53" t="s">
        <v>162</v>
      </c>
      <c r="C132" s="53" t="s">
        <v>162</v>
      </c>
      <c r="D132" s="53" t="s">
        <v>162</v>
      </c>
      <c r="E132" s="53">
        <v>11272</v>
      </c>
      <c r="F132" s="53">
        <f>IFERROR(VLOOKUP(A132,[1]Sheet1!$A$1:$B$247,2,FALSE),0)</f>
        <v>11409</v>
      </c>
      <c r="G132" s="54">
        <f t="shared" si="3"/>
        <v>137</v>
      </c>
    </row>
    <row r="133" spans="1:7" ht="15" x14ac:dyDescent="0.4">
      <c r="A133" s="9" t="s">
        <v>216</v>
      </c>
      <c r="B133" s="53" t="s">
        <v>134</v>
      </c>
      <c r="C133" s="53" t="s">
        <v>134</v>
      </c>
      <c r="D133" s="53">
        <v>11275</v>
      </c>
      <c r="E133" s="53">
        <v>11131</v>
      </c>
      <c r="F133" s="53">
        <f>IFERROR(VLOOKUP(A133,[1]Sheet1!$A$1:$B$247,2,FALSE),0)</f>
        <v>11187</v>
      </c>
      <c r="G133" s="54">
        <f t="shared" si="3"/>
        <v>56</v>
      </c>
    </row>
    <row r="134" spans="1:7" ht="15" x14ac:dyDescent="0.4">
      <c r="A134" s="9" t="s">
        <v>115</v>
      </c>
      <c r="B134" s="53">
        <v>10645</v>
      </c>
      <c r="C134" s="53">
        <v>10459</v>
      </c>
      <c r="D134" s="53">
        <v>10347</v>
      </c>
      <c r="E134" s="53">
        <v>10545</v>
      </c>
      <c r="F134" s="53">
        <f>IFERROR(VLOOKUP(A134,[1]Sheet1!$A$1:$B$247,2,FALSE),0)</f>
        <v>10759</v>
      </c>
      <c r="G134" s="54">
        <f t="shared" si="3"/>
        <v>214</v>
      </c>
    </row>
    <row r="135" spans="1:7" ht="15" x14ac:dyDescent="0.4">
      <c r="A135" s="9" t="s">
        <v>198</v>
      </c>
      <c r="B135" s="53" t="s">
        <v>134</v>
      </c>
      <c r="C135" s="53">
        <v>10906</v>
      </c>
      <c r="D135" s="53">
        <v>10761</v>
      </c>
      <c r="E135" s="53">
        <v>10582</v>
      </c>
      <c r="F135" s="53">
        <f>IFERROR(VLOOKUP(A135,[1]Sheet1!$A$1:$B$247,2,FALSE),0)</f>
        <v>10566</v>
      </c>
      <c r="G135" s="54">
        <f t="shared" si="3"/>
        <v>-16</v>
      </c>
    </row>
    <row r="136" spans="1:7" ht="15" x14ac:dyDescent="0.4">
      <c r="A136" s="9" t="s">
        <v>188</v>
      </c>
      <c r="B136" s="53" t="s">
        <v>134</v>
      </c>
      <c r="C136" s="53">
        <v>10775</v>
      </c>
      <c r="D136" s="53">
        <v>10667</v>
      </c>
      <c r="E136" s="53">
        <v>10459</v>
      </c>
      <c r="F136" s="53">
        <f>IFERROR(VLOOKUP(A136,[1]Sheet1!$A$1:$B$247,2,FALSE),0)</f>
        <v>10453</v>
      </c>
      <c r="G136" s="54">
        <f t="shared" si="3"/>
        <v>-6</v>
      </c>
    </row>
    <row r="137" spans="1:7" ht="15" x14ac:dyDescent="0.4">
      <c r="A137" s="9" t="s">
        <v>185</v>
      </c>
      <c r="B137" s="53" t="s">
        <v>134</v>
      </c>
      <c r="C137" s="53">
        <v>10072</v>
      </c>
      <c r="D137" s="53">
        <v>10042</v>
      </c>
      <c r="E137" s="53">
        <v>10044</v>
      </c>
      <c r="F137" s="53">
        <f>IFERROR(VLOOKUP(A137,[1]Sheet1!$A$1:$B$247,2,FALSE),0)</f>
        <v>10151</v>
      </c>
      <c r="G137" s="54">
        <f t="shared" si="3"/>
        <v>107</v>
      </c>
    </row>
    <row r="138" spans="1:7" ht="15" x14ac:dyDescent="0.4">
      <c r="A138" s="9" t="s">
        <v>131</v>
      </c>
      <c r="B138" s="53">
        <v>2466</v>
      </c>
      <c r="C138" s="53">
        <v>2699</v>
      </c>
      <c r="D138" s="53">
        <v>3303</v>
      </c>
      <c r="E138" s="53">
        <v>5126</v>
      </c>
      <c r="F138" s="53">
        <f>IFERROR(VLOOKUP(A138,[1]Sheet1!$A$1:$B$247,2,FALSE),0)</f>
        <v>10096</v>
      </c>
      <c r="G138" s="54">
        <f t="shared" si="3"/>
        <v>4970</v>
      </c>
    </row>
    <row r="139" spans="1:7" ht="15" x14ac:dyDescent="0.4">
      <c r="A139" s="9" t="s">
        <v>183</v>
      </c>
      <c r="B139" s="53" t="s">
        <v>134</v>
      </c>
      <c r="C139" s="53">
        <v>9859</v>
      </c>
      <c r="D139" s="53">
        <v>9910</v>
      </c>
      <c r="E139" s="53">
        <v>9924</v>
      </c>
      <c r="F139" s="53">
        <f>IFERROR(VLOOKUP(A139,[1]Sheet1!$A$1:$B$247,2,FALSE),0)</f>
        <v>9963</v>
      </c>
      <c r="G139" s="54">
        <f t="shared" si="3"/>
        <v>39</v>
      </c>
    </row>
    <row r="140" spans="1:7" ht="15" x14ac:dyDescent="0.4">
      <c r="A140" s="9" t="s">
        <v>312</v>
      </c>
      <c r="B140" s="53" t="s">
        <v>162</v>
      </c>
      <c r="C140" s="53" t="s">
        <v>162</v>
      </c>
      <c r="D140" s="53" t="s">
        <v>162</v>
      </c>
      <c r="E140" s="53" t="s">
        <v>162</v>
      </c>
      <c r="F140" s="53">
        <f>IFERROR(VLOOKUP(A140,[1]Sheet1!$A$1:$B$247,2,FALSE),0)</f>
        <v>9569</v>
      </c>
      <c r="G140" s="54">
        <v>0</v>
      </c>
    </row>
    <row r="141" spans="1:7" ht="15" x14ac:dyDescent="0.4">
      <c r="A141" s="9" t="s">
        <v>314</v>
      </c>
      <c r="B141" s="53" t="s">
        <v>162</v>
      </c>
      <c r="C141" s="53" t="s">
        <v>162</v>
      </c>
      <c r="D141" s="53" t="s">
        <v>162</v>
      </c>
      <c r="E141" s="53" t="s">
        <v>162</v>
      </c>
      <c r="F141" s="53">
        <f>IFERROR(VLOOKUP(A141,[1]Sheet1!$A$1:$B$247,2,FALSE),0)</f>
        <v>9036</v>
      </c>
      <c r="G141" s="54">
        <v>0</v>
      </c>
    </row>
    <row r="142" spans="1:7" ht="15" x14ac:dyDescent="0.4">
      <c r="A142" s="9" t="s">
        <v>116</v>
      </c>
      <c r="B142" s="53">
        <v>8292</v>
      </c>
      <c r="C142" s="53">
        <v>8410</v>
      </c>
      <c r="D142" s="53">
        <v>8494</v>
      </c>
      <c r="E142" s="53">
        <v>8578</v>
      </c>
      <c r="F142" s="53">
        <f>IFERROR(VLOOKUP(A142,[1]Sheet1!$A$1:$B$247,2,FALSE),0)</f>
        <v>8668</v>
      </c>
      <c r="G142" s="54">
        <f>F142-E142</f>
        <v>90</v>
      </c>
    </row>
    <row r="143" spans="1:7" ht="15" x14ac:dyDescent="0.4">
      <c r="A143" s="9" t="s">
        <v>264</v>
      </c>
      <c r="B143" s="53" t="s">
        <v>162</v>
      </c>
      <c r="C143" s="53" t="s">
        <v>162</v>
      </c>
      <c r="D143" s="53" t="s">
        <v>162</v>
      </c>
      <c r="E143" s="53">
        <v>8198</v>
      </c>
      <c r="F143" s="53">
        <f>IFERROR(VLOOKUP(A143,[1]Sheet1!$A$1:$B$247,2,FALSE),0)</f>
        <v>8235</v>
      </c>
      <c r="G143" s="54">
        <f>F143-E143</f>
        <v>37</v>
      </c>
    </row>
    <row r="144" spans="1:7" ht="15" x14ac:dyDescent="0.4">
      <c r="A144" s="9" t="s">
        <v>313</v>
      </c>
      <c r="B144" s="53" t="s">
        <v>162</v>
      </c>
      <c r="C144" s="53" t="s">
        <v>162</v>
      </c>
      <c r="D144" s="53" t="s">
        <v>162</v>
      </c>
      <c r="E144" s="53" t="s">
        <v>162</v>
      </c>
      <c r="F144" s="53">
        <f>IFERROR(VLOOKUP(A144,[1]Sheet1!$A$1:$B$247,2,FALSE),0)</f>
        <v>7816</v>
      </c>
      <c r="G144" s="54">
        <v>0</v>
      </c>
    </row>
    <row r="145" spans="1:7" ht="15" x14ac:dyDescent="0.4">
      <c r="A145" s="9" t="s">
        <v>225</v>
      </c>
      <c r="B145" s="53" t="s">
        <v>134</v>
      </c>
      <c r="C145" s="53" t="s">
        <v>134</v>
      </c>
      <c r="D145" s="53">
        <v>6968</v>
      </c>
      <c r="E145" s="53">
        <v>7145</v>
      </c>
      <c r="F145" s="53">
        <f>IFERROR(VLOOKUP(A145,[1]Sheet1!$A$1:$B$247,2,FALSE),0)</f>
        <v>7376</v>
      </c>
      <c r="G145" s="54">
        <f>F145-E145</f>
        <v>231</v>
      </c>
    </row>
    <row r="146" spans="1:7" ht="15" x14ac:dyDescent="0.4">
      <c r="A146" s="9" t="s">
        <v>119</v>
      </c>
      <c r="B146" s="53">
        <v>5924</v>
      </c>
      <c r="C146" s="53">
        <v>6106</v>
      </c>
      <c r="D146" s="53">
        <v>6343</v>
      </c>
      <c r="E146" s="53">
        <v>6621</v>
      </c>
      <c r="F146" s="53">
        <f>IFERROR(VLOOKUP(A146,[1]Sheet1!$A$1:$B$247,2,FALSE),0)</f>
        <v>6988</v>
      </c>
      <c r="G146" s="54">
        <f>F146-E146</f>
        <v>367</v>
      </c>
    </row>
    <row r="147" spans="1:7" ht="15" x14ac:dyDescent="0.4">
      <c r="A147" s="9" t="s">
        <v>120</v>
      </c>
      <c r="B147" s="53">
        <v>5913</v>
      </c>
      <c r="C147" s="53">
        <v>6042</v>
      </c>
      <c r="D147" s="53">
        <v>6271</v>
      </c>
      <c r="E147" s="53">
        <v>6583</v>
      </c>
      <c r="F147" s="53">
        <f>IFERROR(VLOOKUP(A147,[1]Sheet1!$A$1:$B$247,2,FALSE),0)</f>
        <v>6842</v>
      </c>
      <c r="G147" s="54">
        <f>F147-E147</f>
        <v>259</v>
      </c>
    </row>
    <row r="148" spans="1:7" ht="15" x14ac:dyDescent="0.4">
      <c r="A148" s="9" t="s">
        <v>317</v>
      </c>
      <c r="B148" s="53" t="s">
        <v>162</v>
      </c>
      <c r="C148" s="53" t="s">
        <v>162</v>
      </c>
      <c r="D148" s="53" t="s">
        <v>162</v>
      </c>
      <c r="E148" s="53" t="s">
        <v>162</v>
      </c>
      <c r="F148" s="53">
        <f>IFERROR(VLOOKUP(A148,[1]Sheet1!$A$1:$B$247,2,FALSE),0)</f>
        <v>6613</v>
      </c>
      <c r="G148" s="54">
        <v>0</v>
      </c>
    </row>
    <row r="149" spans="1:7" ht="15" x14ac:dyDescent="0.4">
      <c r="A149" s="9" t="s">
        <v>117</v>
      </c>
      <c r="B149" s="53">
        <v>6659</v>
      </c>
      <c r="C149" s="53">
        <v>6653</v>
      </c>
      <c r="D149" s="53">
        <v>6615</v>
      </c>
      <c r="E149" s="53">
        <v>6554</v>
      </c>
      <c r="F149" s="53">
        <f>IFERROR(VLOOKUP(A149,[1]Sheet1!$A$1:$B$247,2,FALSE),0)</f>
        <v>6529</v>
      </c>
      <c r="G149" s="54">
        <f t="shared" ref="G149:G162" si="4">F149-E149</f>
        <v>-25</v>
      </c>
    </row>
    <row r="150" spans="1:7" ht="15" x14ac:dyDescent="0.4">
      <c r="A150" s="9" t="s">
        <v>218</v>
      </c>
      <c r="B150" s="53" t="s">
        <v>134</v>
      </c>
      <c r="C150" s="53" t="s">
        <v>134</v>
      </c>
      <c r="D150" s="53">
        <v>6505</v>
      </c>
      <c r="E150" s="53">
        <v>6400</v>
      </c>
      <c r="F150" s="53">
        <f>IFERROR(VLOOKUP(A150,[1]Sheet1!$A$1:$B$247,2,FALSE),0)</f>
        <v>6452</v>
      </c>
      <c r="G150" s="54">
        <f t="shared" si="4"/>
        <v>52</v>
      </c>
    </row>
    <row r="151" spans="1:7" ht="15" x14ac:dyDescent="0.4">
      <c r="A151" s="9" t="s">
        <v>118</v>
      </c>
      <c r="B151" s="53">
        <v>6516</v>
      </c>
      <c r="C151" s="53">
        <v>6476</v>
      </c>
      <c r="D151" s="53">
        <v>6385</v>
      </c>
      <c r="E151" s="53">
        <v>6311</v>
      </c>
      <c r="F151" s="53">
        <f>IFERROR(VLOOKUP(A151,[1]Sheet1!$A$1:$B$247,2,FALSE),0)</f>
        <v>6340</v>
      </c>
      <c r="G151" s="54">
        <f t="shared" si="4"/>
        <v>29</v>
      </c>
    </row>
    <row r="152" spans="1:7" ht="15" x14ac:dyDescent="0.4">
      <c r="A152" s="9" t="s">
        <v>140</v>
      </c>
      <c r="B152" s="53">
        <v>1044</v>
      </c>
      <c r="C152" s="53">
        <v>2511</v>
      </c>
      <c r="D152" s="53">
        <v>4334</v>
      </c>
      <c r="E152" s="53">
        <v>5944</v>
      </c>
      <c r="F152" s="53">
        <f>IFERROR(VLOOKUP(A152,[1]Sheet1!$A$1:$B$247,2,FALSE),0)</f>
        <v>6299</v>
      </c>
      <c r="G152" s="54">
        <f t="shared" si="4"/>
        <v>355</v>
      </c>
    </row>
    <row r="153" spans="1:7" ht="15" x14ac:dyDescent="0.4">
      <c r="A153" s="9" t="s">
        <v>121</v>
      </c>
      <c r="B153" s="53">
        <v>5793</v>
      </c>
      <c r="C153" s="53">
        <v>5770</v>
      </c>
      <c r="D153" s="53">
        <v>5737</v>
      </c>
      <c r="E153" s="53">
        <v>5652</v>
      </c>
      <c r="F153" s="53">
        <f>IFERROR(VLOOKUP(A153,[1]Sheet1!$A$1:$B$247,2,FALSE),0)</f>
        <v>5697</v>
      </c>
      <c r="G153" s="54">
        <f t="shared" si="4"/>
        <v>45</v>
      </c>
    </row>
    <row r="154" spans="1:7" ht="15" x14ac:dyDescent="0.4">
      <c r="A154" s="9" t="s">
        <v>123</v>
      </c>
      <c r="B154" s="53">
        <v>4737</v>
      </c>
      <c r="C154" s="53">
        <v>4943</v>
      </c>
      <c r="D154" s="53">
        <v>5125</v>
      </c>
      <c r="E154" s="53">
        <v>5271</v>
      </c>
      <c r="F154" s="53">
        <f>IFERROR(VLOOKUP(A154,[1]Sheet1!$A$1:$B$247,2,FALSE),0)</f>
        <v>5527</v>
      </c>
      <c r="G154" s="54">
        <f t="shared" si="4"/>
        <v>256</v>
      </c>
    </row>
    <row r="155" spans="1:7" ht="15" x14ac:dyDescent="0.4">
      <c r="A155" s="9" t="s">
        <v>122</v>
      </c>
      <c r="B155" s="53">
        <v>5151</v>
      </c>
      <c r="C155" s="53">
        <v>5233</v>
      </c>
      <c r="D155" s="53">
        <v>5312</v>
      </c>
      <c r="E155" s="53">
        <v>5374</v>
      </c>
      <c r="F155" s="53">
        <f>IFERROR(VLOOKUP(A155,[1]Sheet1!$A$1:$B$247,2,FALSE),0)</f>
        <v>5423</v>
      </c>
      <c r="G155" s="54">
        <f t="shared" si="4"/>
        <v>49</v>
      </c>
    </row>
    <row r="156" spans="1:7" ht="15" x14ac:dyDescent="0.4">
      <c r="A156" s="9" t="s">
        <v>194</v>
      </c>
      <c r="B156" s="53" t="s">
        <v>134</v>
      </c>
      <c r="C156" s="53">
        <v>5228</v>
      </c>
      <c r="D156" s="53">
        <v>5256</v>
      </c>
      <c r="E156" s="53">
        <v>5189</v>
      </c>
      <c r="F156" s="53">
        <f>IFERROR(VLOOKUP(A156,[1]Sheet1!$A$1:$B$247,2,FALSE),0)</f>
        <v>5210</v>
      </c>
      <c r="G156" s="54">
        <f t="shared" si="4"/>
        <v>21</v>
      </c>
    </row>
    <row r="157" spans="1:7" ht="15" x14ac:dyDescent="0.4">
      <c r="A157" s="9" t="s">
        <v>171</v>
      </c>
      <c r="B157" s="53" t="s">
        <v>134</v>
      </c>
      <c r="C157" s="53">
        <v>3390</v>
      </c>
      <c r="D157" s="53">
        <v>3452</v>
      </c>
      <c r="E157" s="53">
        <v>3767</v>
      </c>
      <c r="F157" s="53">
        <f>IFERROR(VLOOKUP(A157,[1]Sheet1!$A$1:$B$247,2,FALSE),0)</f>
        <v>4872</v>
      </c>
      <c r="G157" s="54">
        <f t="shared" si="4"/>
        <v>1105</v>
      </c>
    </row>
    <row r="158" spans="1:7" ht="15" x14ac:dyDescent="0.4">
      <c r="A158" s="9" t="s">
        <v>232</v>
      </c>
      <c r="B158" s="53" t="s">
        <v>134</v>
      </c>
      <c r="C158" s="53" t="s">
        <v>134</v>
      </c>
      <c r="D158" s="53">
        <v>4521</v>
      </c>
      <c r="E158" s="53">
        <v>4493</v>
      </c>
      <c r="F158" s="53">
        <f>IFERROR(VLOOKUP(A158,[1]Sheet1!$A$1:$B$247,2,FALSE),0)</f>
        <v>4490</v>
      </c>
      <c r="G158" s="54">
        <f t="shared" si="4"/>
        <v>-3</v>
      </c>
    </row>
    <row r="159" spans="1:7" ht="15" x14ac:dyDescent="0.4">
      <c r="A159" s="9" t="s">
        <v>124</v>
      </c>
      <c r="B159" s="53">
        <v>4716</v>
      </c>
      <c r="C159" s="53">
        <v>4684</v>
      </c>
      <c r="D159" s="53">
        <v>4637</v>
      </c>
      <c r="E159" s="53">
        <v>4439</v>
      </c>
      <c r="F159" s="53">
        <f>IFERROR(VLOOKUP(A159,[1]Sheet1!$A$1:$B$247,2,FALSE),0)</f>
        <v>4428</v>
      </c>
      <c r="G159" s="54">
        <f t="shared" si="4"/>
        <v>-11</v>
      </c>
    </row>
    <row r="160" spans="1:7" ht="15" x14ac:dyDescent="0.4">
      <c r="A160" s="9" t="s">
        <v>169</v>
      </c>
      <c r="B160" s="53" t="s">
        <v>134</v>
      </c>
      <c r="C160" s="53">
        <v>4198</v>
      </c>
      <c r="D160" s="53">
        <v>4158</v>
      </c>
      <c r="E160" s="53">
        <v>4111</v>
      </c>
      <c r="F160" s="53">
        <f>IFERROR(VLOOKUP(A160,[1]Sheet1!$A$1:$B$247,2,FALSE),0)</f>
        <v>4143</v>
      </c>
      <c r="G160" s="54">
        <f t="shared" si="4"/>
        <v>32</v>
      </c>
    </row>
    <row r="161" spans="1:7" ht="15" x14ac:dyDescent="0.4">
      <c r="A161" s="9" t="s">
        <v>238</v>
      </c>
      <c r="B161" s="53" t="s">
        <v>134</v>
      </c>
      <c r="C161" s="53" t="s">
        <v>134</v>
      </c>
      <c r="D161" s="53">
        <v>4306</v>
      </c>
      <c r="E161" s="53">
        <v>4175</v>
      </c>
      <c r="F161" s="53">
        <f>IFERROR(VLOOKUP(A161,[1]Sheet1!$A$1:$B$247,2,FALSE),0)</f>
        <v>4130</v>
      </c>
      <c r="G161" s="54">
        <f t="shared" si="4"/>
        <v>-45</v>
      </c>
    </row>
    <row r="162" spans="1:7" ht="15" x14ac:dyDescent="0.4">
      <c r="A162" s="9" t="s">
        <v>244</v>
      </c>
      <c r="B162" s="53" t="s">
        <v>134</v>
      </c>
      <c r="C162" s="53" t="s">
        <v>134</v>
      </c>
      <c r="D162" s="53">
        <v>4046</v>
      </c>
      <c r="E162" s="53">
        <v>4005</v>
      </c>
      <c r="F162" s="53">
        <f>IFERROR(VLOOKUP(A162,[1]Sheet1!$A$1:$B$247,2,FALSE),0)</f>
        <v>4041</v>
      </c>
      <c r="G162" s="54">
        <f t="shared" si="4"/>
        <v>36</v>
      </c>
    </row>
    <row r="163" spans="1:7" ht="15" x14ac:dyDescent="0.4">
      <c r="A163" s="9" t="s">
        <v>318</v>
      </c>
      <c r="B163" s="53" t="s">
        <v>162</v>
      </c>
      <c r="C163" s="53" t="s">
        <v>162</v>
      </c>
      <c r="D163" s="53" t="s">
        <v>162</v>
      </c>
      <c r="E163" s="53" t="s">
        <v>162</v>
      </c>
      <c r="F163" s="53">
        <f>IFERROR(VLOOKUP(A163,[1]Sheet1!$A$1:$B$247,2,FALSE),0)</f>
        <v>3803</v>
      </c>
      <c r="G163" s="54">
        <v>0</v>
      </c>
    </row>
    <row r="164" spans="1:7" ht="15" x14ac:dyDescent="0.4">
      <c r="A164" s="9" t="s">
        <v>261</v>
      </c>
      <c r="B164" s="53" t="s">
        <v>162</v>
      </c>
      <c r="C164" s="53" t="s">
        <v>162</v>
      </c>
      <c r="D164" s="53" t="s">
        <v>162</v>
      </c>
      <c r="E164" s="53">
        <v>3454</v>
      </c>
      <c r="F164" s="53">
        <f>IFERROR(VLOOKUP(A164,[1]Sheet1!$A$1:$B$247,2,FALSE),0)</f>
        <v>3613</v>
      </c>
      <c r="G164" s="54">
        <f>F164-E164</f>
        <v>159</v>
      </c>
    </row>
    <row r="165" spans="1:7" ht="15" x14ac:dyDescent="0.4">
      <c r="A165" s="9" t="s">
        <v>127</v>
      </c>
      <c r="B165" s="53">
        <v>3091</v>
      </c>
      <c r="C165" s="53">
        <v>3138</v>
      </c>
      <c r="D165" s="53">
        <v>3172</v>
      </c>
      <c r="E165" s="53">
        <v>3197</v>
      </c>
      <c r="F165" s="53">
        <f>IFERROR(VLOOKUP(A165,[1]Sheet1!$A$1:$B$247,2,FALSE),0)</f>
        <v>3285</v>
      </c>
      <c r="G165" s="54">
        <f>F165-E165</f>
        <v>88</v>
      </c>
    </row>
    <row r="166" spans="1:7" ht="15" x14ac:dyDescent="0.4">
      <c r="A166" s="9" t="s">
        <v>323</v>
      </c>
      <c r="B166" s="53" t="s">
        <v>162</v>
      </c>
      <c r="C166" s="53" t="s">
        <v>162</v>
      </c>
      <c r="D166" s="53" t="s">
        <v>162</v>
      </c>
      <c r="E166" s="53" t="s">
        <v>162</v>
      </c>
      <c r="F166" s="53">
        <f>IFERROR(VLOOKUP(A166,[1]Sheet1!$A$1:$B$247,2,FALSE),0)</f>
        <v>3241</v>
      </c>
      <c r="G166" s="54">
        <v>0</v>
      </c>
    </row>
    <row r="167" spans="1:7" ht="15" x14ac:dyDescent="0.4">
      <c r="A167" s="9" t="s">
        <v>125</v>
      </c>
      <c r="B167" s="53">
        <v>3341</v>
      </c>
      <c r="C167" s="53">
        <v>3305</v>
      </c>
      <c r="D167" s="53">
        <v>3250</v>
      </c>
      <c r="E167" s="53">
        <v>3191</v>
      </c>
      <c r="F167" s="53">
        <f>IFERROR(VLOOKUP(A167,[1]Sheet1!$A$1:$B$247,2,FALSE),0)</f>
        <v>3189</v>
      </c>
      <c r="G167" s="54">
        <f t="shared" ref="G167:G172" si="5">F167-E167</f>
        <v>-2</v>
      </c>
    </row>
    <row r="168" spans="1:7" ht="15" x14ac:dyDescent="0.4">
      <c r="A168" s="9" t="s">
        <v>126</v>
      </c>
      <c r="B168" s="53">
        <v>3136</v>
      </c>
      <c r="C168" s="53">
        <v>3132</v>
      </c>
      <c r="D168" s="53">
        <v>3117</v>
      </c>
      <c r="E168" s="53">
        <v>3124</v>
      </c>
      <c r="F168" s="53">
        <f>IFERROR(VLOOKUP(A168,[1]Sheet1!$A$1:$B$247,2,FALSE),0)</f>
        <v>3158</v>
      </c>
      <c r="G168" s="54">
        <f t="shared" si="5"/>
        <v>34</v>
      </c>
    </row>
    <row r="169" spans="1:7" ht="15" x14ac:dyDescent="0.4">
      <c r="A169" s="9" t="s">
        <v>263</v>
      </c>
      <c r="B169" s="53" t="s">
        <v>162</v>
      </c>
      <c r="C169" s="53" t="s">
        <v>162</v>
      </c>
      <c r="D169" s="53" t="s">
        <v>162</v>
      </c>
      <c r="E169" s="53">
        <v>2683</v>
      </c>
      <c r="F169" s="53">
        <f>IFERROR(VLOOKUP(A169,[1]Sheet1!$A$1:$B$247,2,FALSE),0)</f>
        <v>2730</v>
      </c>
      <c r="G169" s="54">
        <f t="shared" si="5"/>
        <v>47</v>
      </c>
    </row>
    <row r="170" spans="1:7" ht="15" x14ac:dyDescent="0.4">
      <c r="A170" s="9" t="s">
        <v>130</v>
      </c>
      <c r="B170" s="53">
        <v>2565</v>
      </c>
      <c r="C170" s="53">
        <v>2547</v>
      </c>
      <c r="D170" s="53">
        <v>2586</v>
      </c>
      <c r="E170" s="53">
        <v>2622</v>
      </c>
      <c r="F170" s="53">
        <f>IFERROR(VLOOKUP(A170,[1]Sheet1!$A$1:$B$247,2,FALSE),0)</f>
        <v>2708</v>
      </c>
      <c r="G170" s="54">
        <f t="shared" si="5"/>
        <v>86</v>
      </c>
    </row>
    <row r="171" spans="1:7" ht="15" x14ac:dyDescent="0.4">
      <c r="A171" s="9" t="s">
        <v>217</v>
      </c>
      <c r="B171" s="53" t="s">
        <v>134</v>
      </c>
      <c r="C171" s="53" t="s">
        <v>134</v>
      </c>
      <c r="D171" s="53">
        <v>3021</v>
      </c>
      <c r="E171" s="53">
        <v>2791</v>
      </c>
      <c r="F171" s="53">
        <f>IFERROR(VLOOKUP(A171,[1]Sheet1!$A$1:$B$247,2,FALSE),0)</f>
        <v>2652</v>
      </c>
      <c r="G171" s="54">
        <f t="shared" si="5"/>
        <v>-139</v>
      </c>
    </row>
    <row r="172" spans="1:7" ht="15" x14ac:dyDescent="0.4">
      <c r="A172" s="9" t="s">
        <v>166</v>
      </c>
      <c r="B172" s="53" t="s">
        <v>134</v>
      </c>
      <c r="C172" s="53">
        <v>2596</v>
      </c>
      <c r="D172" s="53">
        <v>2588</v>
      </c>
      <c r="E172" s="53">
        <v>2575</v>
      </c>
      <c r="F172" s="53">
        <f>IFERROR(VLOOKUP(A172,[1]Sheet1!$A$1:$B$247,2,FALSE),0)</f>
        <v>2587</v>
      </c>
      <c r="G172" s="54">
        <f t="shared" si="5"/>
        <v>12</v>
      </c>
    </row>
    <row r="173" spans="1:7" ht="15" x14ac:dyDescent="0.4">
      <c r="A173" s="9" t="s">
        <v>322</v>
      </c>
      <c r="B173" s="53" t="s">
        <v>162</v>
      </c>
      <c r="C173" s="53" t="s">
        <v>162</v>
      </c>
      <c r="D173" s="53" t="s">
        <v>162</v>
      </c>
      <c r="E173" s="53" t="s">
        <v>162</v>
      </c>
      <c r="F173" s="53">
        <f>IFERROR(VLOOKUP(A173,[1]Sheet1!$A$1:$B$247,2,FALSE),0)</f>
        <v>2383</v>
      </c>
      <c r="G173" s="54">
        <v>0</v>
      </c>
    </row>
    <row r="174" spans="1:7" ht="15" x14ac:dyDescent="0.4">
      <c r="A174" s="9" t="s">
        <v>189</v>
      </c>
      <c r="B174" s="53" t="s">
        <v>134</v>
      </c>
      <c r="C174" s="53">
        <v>2738</v>
      </c>
      <c r="D174" s="53">
        <v>2579</v>
      </c>
      <c r="E174" s="53">
        <v>2379</v>
      </c>
      <c r="F174" s="53">
        <f>IFERROR(VLOOKUP(A174,[1]Sheet1!$A$1:$B$247,2,FALSE),0)</f>
        <v>2272</v>
      </c>
      <c r="G174" s="54">
        <f t="shared" ref="G174:G197" si="6">F174-E174</f>
        <v>-107</v>
      </c>
    </row>
    <row r="175" spans="1:7" ht="15" x14ac:dyDescent="0.4">
      <c r="A175" s="9" t="s">
        <v>179</v>
      </c>
      <c r="B175" s="53" t="s">
        <v>134</v>
      </c>
      <c r="C175" s="53">
        <v>2002</v>
      </c>
      <c r="D175" s="53">
        <v>2234</v>
      </c>
      <c r="E175" s="53">
        <v>2499</v>
      </c>
      <c r="F175" s="53">
        <f>IFERROR(VLOOKUP(A175,[1]Sheet1!$A$1:$B$247,2,FALSE),0)</f>
        <v>2710</v>
      </c>
      <c r="G175" s="54">
        <f t="shared" si="6"/>
        <v>211</v>
      </c>
    </row>
    <row r="176" spans="1:7" ht="15" x14ac:dyDescent="0.4">
      <c r="A176" s="9" t="s">
        <v>129</v>
      </c>
      <c r="B176" s="53">
        <v>2817</v>
      </c>
      <c r="C176" s="53">
        <v>2703</v>
      </c>
      <c r="D176" s="53">
        <v>2559</v>
      </c>
      <c r="E176" s="53">
        <v>2387</v>
      </c>
      <c r="F176" s="53">
        <f>IFERROR(VLOOKUP(A176,[1]Sheet1!$A$1:$B$247,2,FALSE),0)</f>
        <v>2243</v>
      </c>
      <c r="G176" s="54">
        <f t="shared" si="6"/>
        <v>-144</v>
      </c>
    </row>
    <row r="177" spans="1:7" ht="15" x14ac:dyDescent="0.4">
      <c r="A177" s="9" t="s">
        <v>132</v>
      </c>
      <c r="B177" s="53">
        <v>2216</v>
      </c>
      <c r="C177" s="53">
        <v>2209</v>
      </c>
      <c r="D177" s="53">
        <v>2221</v>
      </c>
      <c r="E177" s="53">
        <v>2182</v>
      </c>
      <c r="F177" s="53">
        <f>IFERROR(VLOOKUP(A177,[1]Sheet1!$A$1:$B$247,2,FALSE),0)</f>
        <v>2193</v>
      </c>
      <c r="G177" s="54">
        <f t="shared" si="6"/>
        <v>11</v>
      </c>
    </row>
    <row r="178" spans="1:7" ht="15" x14ac:dyDescent="0.4">
      <c r="A178" s="9" t="s">
        <v>224</v>
      </c>
      <c r="B178" s="53" t="s">
        <v>134</v>
      </c>
      <c r="C178" s="53" t="s">
        <v>134</v>
      </c>
      <c r="D178" s="53">
        <v>2080</v>
      </c>
      <c r="E178" s="53">
        <v>2047</v>
      </c>
      <c r="F178" s="53">
        <f>IFERROR(VLOOKUP(A178,[1]Sheet1!$A$1:$B$247,2,FALSE),0)</f>
        <v>2046</v>
      </c>
      <c r="G178" s="54">
        <f t="shared" si="6"/>
        <v>-1</v>
      </c>
    </row>
    <row r="179" spans="1:7" ht="15" x14ac:dyDescent="0.4">
      <c r="A179" s="9" t="s">
        <v>172</v>
      </c>
      <c r="B179" s="53" t="s">
        <v>134</v>
      </c>
      <c r="C179" s="53">
        <v>2135</v>
      </c>
      <c r="D179" s="53">
        <v>2110</v>
      </c>
      <c r="E179" s="53">
        <v>2057</v>
      </c>
      <c r="F179" s="53">
        <f>IFERROR(VLOOKUP(A179,[1]Sheet1!$A$1:$B$247,2,FALSE),0)</f>
        <v>2045</v>
      </c>
      <c r="G179" s="54">
        <f t="shared" si="6"/>
        <v>-12</v>
      </c>
    </row>
    <row r="180" spans="1:7" ht="15" x14ac:dyDescent="0.4">
      <c r="A180" s="9" t="s">
        <v>229</v>
      </c>
      <c r="B180" s="53" t="s">
        <v>134</v>
      </c>
      <c r="C180" s="53" t="s">
        <v>134</v>
      </c>
      <c r="D180" s="53">
        <v>1996</v>
      </c>
      <c r="E180" s="53">
        <v>1961</v>
      </c>
      <c r="F180" s="53">
        <f>IFERROR(VLOOKUP(A180,[1]Sheet1!$A$1:$B$247,2,FALSE),0)</f>
        <v>1957</v>
      </c>
      <c r="G180" s="54">
        <f t="shared" si="6"/>
        <v>-4</v>
      </c>
    </row>
    <row r="181" spans="1:7" ht="15" x14ac:dyDescent="0.4">
      <c r="A181" s="9" t="s">
        <v>251</v>
      </c>
      <c r="B181" s="53" t="s">
        <v>162</v>
      </c>
      <c r="C181" s="53" t="s">
        <v>162</v>
      </c>
      <c r="D181" s="53" t="s">
        <v>162</v>
      </c>
      <c r="E181" s="53">
        <v>1888</v>
      </c>
      <c r="F181" s="53">
        <f>IFERROR(VLOOKUP(A181,[1]Sheet1!$A$1:$B$247,2,FALSE),0)</f>
        <v>1906</v>
      </c>
      <c r="G181" s="54">
        <f t="shared" si="6"/>
        <v>18</v>
      </c>
    </row>
    <row r="182" spans="1:7" ht="15" x14ac:dyDescent="0.4">
      <c r="A182" s="9" t="s">
        <v>136</v>
      </c>
      <c r="B182" s="53">
        <v>1731</v>
      </c>
      <c r="C182" s="53">
        <v>1712</v>
      </c>
      <c r="D182" s="53">
        <v>1700</v>
      </c>
      <c r="E182" s="53">
        <v>1687</v>
      </c>
      <c r="F182" s="53">
        <f>IFERROR(VLOOKUP(A182,[1]Sheet1!$A$1:$B$247,2,FALSE),0)</f>
        <v>1683</v>
      </c>
      <c r="G182" s="54">
        <f t="shared" si="6"/>
        <v>-4</v>
      </c>
    </row>
    <row r="183" spans="1:7" ht="15" x14ac:dyDescent="0.4">
      <c r="A183" s="9" t="s">
        <v>135</v>
      </c>
      <c r="B183" s="53">
        <v>1931</v>
      </c>
      <c r="C183" s="53">
        <v>1836</v>
      </c>
      <c r="D183" s="53">
        <v>1716</v>
      </c>
      <c r="E183" s="53">
        <v>1602</v>
      </c>
      <c r="F183" s="53">
        <f>IFERROR(VLOOKUP(A183,[1]Sheet1!$A$1:$B$247,2,FALSE),0)</f>
        <v>1498</v>
      </c>
      <c r="G183" s="54">
        <f t="shared" si="6"/>
        <v>-104</v>
      </c>
    </row>
    <row r="184" spans="1:7" ht="15" x14ac:dyDescent="0.4">
      <c r="A184" s="9" t="s">
        <v>321</v>
      </c>
      <c r="B184" s="53" t="s">
        <v>134</v>
      </c>
      <c r="C184" s="53" t="s">
        <v>134</v>
      </c>
      <c r="D184" s="53">
        <v>1535</v>
      </c>
      <c r="E184" s="53">
        <v>1506</v>
      </c>
      <c r="F184" s="53">
        <f>IFERROR(VLOOKUP(A184,[1]Sheet1!$A$1:$B$247,2,FALSE),0)</f>
        <v>1488</v>
      </c>
      <c r="G184" s="54">
        <f t="shared" si="6"/>
        <v>-18</v>
      </c>
    </row>
    <row r="185" spans="1:7" ht="15" x14ac:dyDescent="0.4">
      <c r="A185" s="9" t="s">
        <v>228</v>
      </c>
      <c r="B185" s="53" t="s">
        <v>134</v>
      </c>
      <c r="C185" s="53" t="s">
        <v>134</v>
      </c>
      <c r="D185" s="53">
        <v>1506</v>
      </c>
      <c r="E185" s="53">
        <v>1439</v>
      </c>
      <c r="F185" s="53">
        <f>IFERROR(VLOOKUP(A185,[1]Sheet1!$A$1:$B$247,2,FALSE),0)</f>
        <v>1443</v>
      </c>
      <c r="G185" s="54">
        <f t="shared" si="6"/>
        <v>4</v>
      </c>
    </row>
    <row r="186" spans="1:7" ht="15" x14ac:dyDescent="0.4">
      <c r="A186" s="9" t="s">
        <v>137</v>
      </c>
      <c r="B186" s="53">
        <v>1479</v>
      </c>
      <c r="C186" s="53">
        <v>1473</v>
      </c>
      <c r="D186" s="53">
        <v>1468</v>
      </c>
      <c r="E186" s="53">
        <v>1435</v>
      </c>
      <c r="F186" s="53">
        <f>IFERROR(VLOOKUP(A186,[1]Sheet1!$A$1:$B$247,2,FALSE),0)</f>
        <v>1425</v>
      </c>
      <c r="G186" s="54">
        <f t="shared" si="6"/>
        <v>-10</v>
      </c>
    </row>
    <row r="187" spans="1:7" ht="15" x14ac:dyDescent="0.4">
      <c r="A187" s="9" t="s">
        <v>255</v>
      </c>
      <c r="B187" s="53" t="s">
        <v>162</v>
      </c>
      <c r="C187" s="53" t="s">
        <v>162</v>
      </c>
      <c r="D187" s="53" t="s">
        <v>162</v>
      </c>
      <c r="E187" s="53">
        <v>1390</v>
      </c>
      <c r="F187" s="53">
        <f>IFERROR(VLOOKUP(A187,[1]Sheet1!$A$1:$B$247,2,FALSE),0)</f>
        <v>1406</v>
      </c>
      <c r="G187" s="54">
        <f t="shared" si="6"/>
        <v>16</v>
      </c>
    </row>
    <row r="188" spans="1:7" ht="15" x14ac:dyDescent="0.4">
      <c r="A188" s="9" t="s">
        <v>259</v>
      </c>
      <c r="B188" s="53" t="s">
        <v>162</v>
      </c>
      <c r="C188" s="53" t="s">
        <v>162</v>
      </c>
      <c r="D188" s="53" t="s">
        <v>162</v>
      </c>
      <c r="E188" s="53">
        <v>1249</v>
      </c>
      <c r="F188" s="53">
        <f>IFERROR(VLOOKUP(A188,[1]Sheet1!$A$1:$B$247,2,FALSE),0)</f>
        <v>1238</v>
      </c>
      <c r="G188" s="54">
        <f t="shared" si="6"/>
        <v>-11</v>
      </c>
    </row>
    <row r="189" spans="1:7" ht="15" x14ac:dyDescent="0.4">
      <c r="A189" s="9" t="s">
        <v>139</v>
      </c>
      <c r="B189" s="53">
        <v>1073</v>
      </c>
      <c r="C189" s="53">
        <v>1067</v>
      </c>
      <c r="D189" s="53">
        <v>1082</v>
      </c>
      <c r="E189" s="53">
        <v>1098</v>
      </c>
      <c r="F189" s="53">
        <f>IFERROR(VLOOKUP(A189,[1]Sheet1!$A$1:$B$247,2,FALSE),0)</f>
        <v>1100</v>
      </c>
      <c r="G189" s="54">
        <f t="shared" si="6"/>
        <v>2</v>
      </c>
    </row>
    <row r="190" spans="1:7" ht="15" x14ac:dyDescent="0.4">
      <c r="A190" s="9" t="s">
        <v>231</v>
      </c>
      <c r="B190" s="53" t="s">
        <v>134</v>
      </c>
      <c r="C190" s="53" t="s">
        <v>134</v>
      </c>
      <c r="D190" s="53">
        <v>1953</v>
      </c>
      <c r="E190" s="53">
        <v>1481</v>
      </c>
      <c r="F190" s="53">
        <f>IFERROR(VLOOKUP(A190,[1]Sheet1!$A$1:$B$247,2,FALSE),0)</f>
        <v>1076</v>
      </c>
      <c r="G190" s="54">
        <f t="shared" si="6"/>
        <v>-405</v>
      </c>
    </row>
    <row r="191" spans="1:7" ht="15" x14ac:dyDescent="0.4">
      <c r="A191" s="9" t="s">
        <v>138</v>
      </c>
      <c r="B191" s="53">
        <v>1195</v>
      </c>
      <c r="C191" s="53">
        <v>1140</v>
      </c>
      <c r="D191" s="53">
        <v>1098</v>
      </c>
      <c r="E191" s="53">
        <v>1039</v>
      </c>
      <c r="F191" s="53">
        <f>IFERROR(VLOOKUP(A191,[1]Sheet1!$A$1:$B$247,2,FALSE),0)</f>
        <v>1001</v>
      </c>
      <c r="G191" s="54">
        <f t="shared" si="6"/>
        <v>-38</v>
      </c>
    </row>
    <row r="192" spans="1:7" ht="15" x14ac:dyDescent="0.4">
      <c r="A192" s="9" t="s">
        <v>222</v>
      </c>
      <c r="B192" s="53" t="s">
        <v>134</v>
      </c>
      <c r="C192" s="53" t="s">
        <v>134</v>
      </c>
      <c r="D192" s="53">
        <v>904</v>
      </c>
      <c r="E192" s="53">
        <v>897</v>
      </c>
      <c r="F192" s="53">
        <f>IFERROR(VLOOKUP(A192,[1]Sheet1!$A$1:$B$247,2,FALSE),0)</f>
        <v>891</v>
      </c>
      <c r="G192" s="54">
        <f t="shared" si="6"/>
        <v>-6</v>
      </c>
    </row>
    <row r="193" spans="1:7" ht="15" x14ac:dyDescent="0.4">
      <c r="A193" s="9" t="s">
        <v>250</v>
      </c>
      <c r="B193" s="53" t="s">
        <v>162</v>
      </c>
      <c r="C193" s="53" t="s">
        <v>162</v>
      </c>
      <c r="D193" s="53" t="s">
        <v>162</v>
      </c>
      <c r="E193" s="53">
        <v>897</v>
      </c>
      <c r="F193" s="53">
        <f>IFERROR(VLOOKUP(A193,[1]Sheet1!$A$1:$B$247,2,FALSE),0)</f>
        <v>885</v>
      </c>
      <c r="G193" s="54">
        <f t="shared" si="6"/>
        <v>-12</v>
      </c>
    </row>
    <row r="194" spans="1:7" ht="15" x14ac:dyDescent="0.4">
      <c r="A194" s="9" t="s">
        <v>158</v>
      </c>
      <c r="B194" s="53" t="s">
        <v>134</v>
      </c>
      <c r="C194" s="53">
        <v>727</v>
      </c>
      <c r="D194" s="53">
        <v>735</v>
      </c>
      <c r="E194" s="53">
        <v>745</v>
      </c>
      <c r="F194" s="53">
        <f>IFERROR(VLOOKUP(A194,[1]Sheet1!$A$1:$B$247,2,FALSE),0)</f>
        <v>759</v>
      </c>
      <c r="G194" s="54">
        <f t="shared" si="6"/>
        <v>14</v>
      </c>
    </row>
    <row r="195" spans="1:7" ht="15" x14ac:dyDescent="0.4">
      <c r="A195" s="9" t="s">
        <v>176</v>
      </c>
      <c r="B195" s="53" t="s">
        <v>134</v>
      </c>
      <c r="C195" s="53">
        <v>763</v>
      </c>
      <c r="D195" s="53">
        <v>753</v>
      </c>
      <c r="E195" s="53">
        <v>746</v>
      </c>
      <c r="F195" s="53">
        <f>IFERROR(VLOOKUP(A195,[1]Sheet1!$A$1:$B$247,2,FALSE),0)</f>
        <v>742</v>
      </c>
      <c r="G195" s="54">
        <f t="shared" si="6"/>
        <v>-4</v>
      </c>
    </row>
    <row r="196" spans="1:7" ht="15" x14ac:dyDescent="0.4">
      <c r="A196" s="9" t="s">
        <v>186</v>
      </c>
      <c r="B196" s="53" t="s">
        <v>134</v>
      </c>
      <c r="C196" s="53">
        <v>687</v>
      </c>
      <c r="D196" s="53">
        <v>707</v>
      </c>
      <c r="E196" s="53">
        <v>699</v>
      </c>
      <c r="F196" s="53">
        <f>IFERROR(VLOOKUP(A196,[1]Sheet1!$A$1:$B$247,2,FALSE),0)</f>
        <v>701</v>
      </c>
      <c r="G196" s="54">
        <f t="shared" si="6"/>
        <v>2</v>
      </c>
    </row>
    <row r="197" spans="1:7" ht="15" x14ac:dyDescent="0.4">
      <c r="A197" s="9" t="s">
        <v>156</v>
      </c>
      <c r="B197" s="53" t="s">
        <v>134</v>
      </c>
      <c r="C197" s="53">
        <v>684</v>
      </c>
      <c r="D197" s="53">
        <v>681</v>
      </c>
      <c r="E197" s="53">
        <v>676</v>
      </c>
      <c r="F197" s="53">
        <f>IFERROR(VLOOKUP(A197,[1]Sheet1!$A$1:$B$247,2,FALSE),0)</f>
        <v>667</v>
      </c>
      <c r="G197" s="54">
        <f t="shared" si="6"/>
        <v>-9</v>
      </c>
    </row>
    <row r="198" spans="1:7" ht="15" x14ac:dyDescent="0.4">
      <c r="A198" s="9" t="s">
        <v>320</v>
      </c>
      <c r="B198" s="53" t="s">
        <v>162</v>
      </c>
      <c r="C198" s="53" t="s">
        <v>162</v>
      </c>
      <c r="D198" s="53" t="s">
        <v>162</v>
      </c>
      <c r="E198" s="53" t="s">
        <v>162</v>
      </c>
      <c r="F198" s="53">
        <f>IFERROR(VLOOKUP(A198,[1]Sheet1!$A$1:$B$247,2,FALSE),0)</f>
        <v>643</v>
      </c>
      <c r="G198" s="54">
        <v>0</v>
      </c>
    </row>
    <row r="199" spans="1:7" ht="15" x14ac:dyDescent="0.4">
      <c r="A199" s="9" t="s">
        <v>167</v>
      </c>
      <c r="B199" s="53" t="s">
        <v>134</v>
      </c>
      <c r="C199" s="53">
        <v>180</v>
      </c>
      <c r="D199" s="53">
        <v>270</v>
      </c>
      <c r="E199" s="53">
        <v>428</v>
      </c>
      <c r="F199" s="53">
        <f>IFERROR(VLOOKUP(A199,[1]Sheet1!$A$1:$B$247,2,FALSE),0)</f>
        <v>548</v>
      </c>
      <c r="G199" s="54">
        <f t="shared" ref="G199:G206" si="7">F199-E199</f>
        <v>120</v>
      </c>
    </row>
    <row r="200" spans="1:7" ht="15" x14ac:dyDescent="0.4">
      <c r="A200" s="9" t="s">
        <v>142</v>
      </c>
      <c r="B200" s="53">
        <v>527</v>
      </c>
      <c r="C200" s="53">
        <v>511</v>
      </c>
      <c r="D200" s="53">
        <v>503</v>
      </c>
      <c r="E200" s="53">
        <v>492</v>
      </c>
      <c r="F200" s="53">
        <f>IFERROR(VLOOKUP(A200,[1]Sheet1!$A$1:$B$247,2,FALSE),0)</f>
        <v>485</v>
      </c>
      <c r="G200" s="54">
        <f t="shared" si="7"/>
        <v>-7</v>
      </c>
    </row>
    <row r="201" spans="1:7" ht="15" x14ac:dyDescent="0.4">
      <c r="A201" s="9" t="s">
        <v>236</v>
      </c>
      <c r="B201" s="53" t="s">
        <v>134</v>
      </c>
      <c r="C201" s="53" t="s">
        <v>134</v>
      </c>
      <c r="D201" s="53">
        <v>390</v>
      </c>
      <c r="E201" s="53">
        <v>394</v>
      </c>
      <c r="F201" s="53">
        <f>IFERROR(VLOOKUP(A201,[1]Sheet1!$A$1:$B$247,2,FALSE),0)</f>
        <v>401</v>
      </c>
      <c r="G201" s="54">
        <f t="shared" si="7"/>
        <v>7</v>
      </c>
    </row>
    <row r="202" spans="1:7" ht="15" x14ac:dyDescent="0.4">
      <c r="A202" s="9" t="s">
        <v>184</v>
      </c>
      <c r="B202" s="53" t="s">
        <v>134</v>
      </c>
      <c r="C202" s="53">
        <v>325</v>
      </c>
      <c r="D202" s="53">
        <v>323</v>
      </c>
      <c r="E202" s="53">
        <v>322</v>
      </c>
      <c r="F202" s="53">
        <f>IFERROR(VLOOKUP(A202,[1]Sheet1!$A$1:$B$247,2,FALSE),0)</f>
        <v>328</v>
      </c>
      <c r="G202" s="54">
        <f t="shared" si="7"/>
        <v>6</v>
      </c>
    </row>
    <row r="203" spans="1:7" ht="15" x14ac:dyDescent="0.4">
      <c r="A203" s="9" t="s">
        <v>163</v>
      </c>
      <c r="B203" s="53" t="s">
        <v>134</v>
      </c>
      <c r="C203" s="53">
        <v>239</v>
      </c>
      <c r="D203" s="53">
        <v>241</v>
      </c>
      <c r="E203" s="53">
        <v>258</v>
      </c>
      <c r="F203" s="53">
        <f>IFERROR(VLOOKUP(A203,[1]Sheet1!$A$1:$B$247,2,FALSE),0)</f>
        <v>254</v>
      </c>
      <c r="G203" s="54">
        <f t="shared" si="7"/>
        <v>-4</v>
      </c>
    </row>
    <row r="204" spans="1:7" ht="15" x14ac:dyDescent="0.4">
      <c r="A204" s="9" t="s">
        <v>160</v>
      </c>
      <c r="B204" s="53" t="s">
        <v>134</v>
      </c>
      <c r="C204" s="53">
        <v>227</v>
      </c>
      <c r="D204" s="53">
        <v>229</v>
      </c>
      <c r="E204" s="53">
        <v>236</v>
      </c>
      <c r="F204" s="53">
        <f>IFERROR(VLOOKUP(A204,[1]Sheet1!$A$1:$B$247,2,FALSE),0)</f>
        <v>240</v>
      </c>
      <c r="G204" s="54">
        <f t="shared" si="7"/>
        <v>4</v>
      </c>
    </row>
    <row r="205" spans="1:7" ht="15" x14ac:dyDescent="0.4">
      <c r="A205" s="9" t="s">
        <v>191</v>
      </c>
      <c r="B205" s="53" t="s">
        <v>134</v>
      </c>
      <c r="C205" s="53">
        <v>189</v>
      </c>
      <c r="D205" s="53">
        <v>189</v>
      </c>
      <c r="E205" s="53">
        <v>187</v>
      </c>
      <c r="F205" s="53">
        <f>IFERROR(VLOOKUP(A205,[1]Sheet1!$A$1:$B$247,2,FALSE),0)</f>
        <v>187</v>
      </c>
      <c r="G205" s="54">
        <f t="shared" si="7"/>
        <v>0</v>
      </c>
    </row>
    <row r="206" spans="1:7" ht="15" x14ac:dyDescent="0.4">
      <c r="A206" s="9" t="s">
        <v>143</v>
      </c>
      <c r="B206" s="53">
        <v>181</v>
      </c>
      <c r="C206" s="53">
        <v>183</v>
      </c>
      <c r="D206" s="53">
        <v>182</v>
      </c>
      <c r="E206" s="53">
        <v>179</v>
      </c>
      <c r="F206" s="53">
        <f>IFERROR(VLOOKUP(A206,[1]Sheet1!$A$1:$B$247,2,FALSE),0)</f>
        <v>182</v>
      </c>
      <c r="G206" s="54">
        <f t="shared" si="7"/>
        <v>3</v>
      </c>
    </row>
    <row r="207" spans="1:7" ht="15" x14ac:dyDescent="0.4">
      <c r="A207" s="9" t="s">
        <v>311</v>
      </c>
      <c r="B207" s="53" t="s">
        <v>162</v>
      </c>
      <c r="C207" s="53" t="s">
        <v>162</v>
      </c>
      <c r="D207" s="53" t="s">
        <v>162</v>
      </c>
      <c r="E207" s="53" t="s">
        <v>162</v>
      </c>
      <c r="F207" s="53">
        <f>IFERROR(VLOOKUP(A207,[1]Sheet1!$A$1:$B$247,2,FALSE),0)</f>
        <v>178</v>
      </c>
      <c r="G207" s="54">
        <v>0</v>
      </c>
    </row>
    <row r="208" spans="1:7" ht="15" x14ac:dyDescent="0.4">
      <c r="A208" s="9" t="s">
        <v>315</v>
      </c>
      <c r="B208" s="53" t="s">
        <v>162</v>
      </c>
      <c r="C208" s="53" t="s">
        <v>162</v>
      </c>
      <c r="D208" s="53" t="s">
        <v>162</v>
      </c>
      <c r="E208" s="53" t="s">
        <v>162</v>
      </c>
      <c r="F208" s="53">
        <f>IFERROR(VLOOKUP(A208,[1]Sheet1!$A$1:$B$247,2,FALSE),0)</f>
        <v>173</v>
      </c>
      <c r="G208" s="54">
        <v>0</v>
      </c>
    </row>
    <row r="209" spans="1:7" ht="15" x14ac:dyDescent="0.4">
      <c r="A209" s="9" t="s">
        <v>144</v>
      </c>
      <c r="B209" s="53">
        <v>144</v>
      </c>
      <c r="C209" s="53">
        <v>146</v>
      </c>
      <c r="D209" s="53">
        <v>146</v>
      </c>
      <c r="E209" s="53">
        <v>150</v>
      </c>
      <c r="F209" s="53">
        <f>IFERROR(VLOOKUP(A209,[1]Sheet1!$A$1:$B$247,2,FALSE),0)</f>
        <v>153</v>
      </c>
      <c r="G209" s="54">
        <f t="shared" ref="G209:G216" si="8">F209-E209</f>
        <v>3</v>
      </c>
    </row>
    <row r="210" spans="1:7" ht="15" x14ac:dyDescent="0.4">
      <c r="A210" s="9" t="s">
        <v>174</v>
      </c>
      <c r="B210" s="53" t="s">
        <v>134</v>
      </c>
      <c r="C210" s="53">
        <v>78</v>
      </c>
      <c r="D210" s="53">
        <v>92</v>
      </c>
      <c r="E210" s="53">
        <v>109</v>
      </c>
      <c r="F210" s="53">
        <f>IFERROR(VLOOKUP(A210,[1]Sheet1!$A$1:$B$247,2,FALSE),0)</f>
        <v>138</v>
      </c>
      <c r="G210" s="54">
        <f t="shared" si="8"/>
        <v>29</v>
      </c>
    </row>
    <row r="211" spans="1:7" ht="15" x14ac:dyDescent="0.4">
      <c r="A211" s="9" t="s">
        <v>182</v>
      </c>
      <c r="B211" s="53" t="s">
        <v>134</v>
      </c>
      <c r="C211" s="53">
        <v>1</v>
      </c>
      <c r="D211" s="53">
        <v>0</v>
      </c>
      <c r="E211" s="53">
        <v>105</v>
      </c>
      <c r="F211" s="53">
        <f>IFERROR(VLOOKUP(A211,[1]Sheet1!$A$1:$B$247,2,FALSE),0)</f>
        <v>105</v>
      </c>
      <c r="G211" s="54">
        <f t="shared" si="8"/>
        <v>0</v>
      </c>
    </row>
    <row r="212" spans="1:7" ht="15" x14ac:dyDescent="0.4">
      <c r="A212" s="9" t="s">
        <v>260</v>
      </c>
      <c r="B212" s="53" t="s">
        <v>162</v>
      </c>
      <c r="C212" s="53" t="s">
        <v>162</v>
      </c>
      <c r="D212" s="53" t="s">
        <v>162</v>
      </c>
      <c r="E212" s="53">
        <v>91</v>
      </c>
      <c r="F212" s="53">
        <f>IFERROR(VLOOKUP(A212,[1]Sheet1!$A$1:$B$247,2,FALSE),0)</f>
        <v>87</v>
      </c>
      <c r="G212" s="54">
        <f t="shared" si="8"/>
        <v>-4</v>
      </c>
    </row>
    <row r="213" spans="1:7" ht="15" x14ac:dyDescent="0.4">
      <c r="A213" s="9" t="s">
        <v>146</v>
      </c>
      <c r="B213" s="53">
        <v>78</v>
      </c>
      <c r="C213" s="53">
        <v>78</v>
      </c>
      <c r="D213" s="53">
        <v>80</v>
      </c>
      <c r="E213" s="53">
        <v>76</v>
      </c>
      <c r="F213" s="53">
        <f>IFERROR(VLOOKUP(A213,[1]Sheet1!$A$1:$B$247,2,FALSE),0)</f>
        <v>81</v>
      </c>
      <c r="G213" s="54">
        <f t="shared" si="8"/>
        <v>5</v>
      </c>
    </row>
    <row r="214" spans="1:7" ht="15" x14ac:dyDescent="0.4">
      <c r="A214" s="9" t="s">
        <v>147</v>
      </c>
      <c r="B214" s="53">
        <v>77</v>
      </c>
      <c r="C214" s="53">
        <v>77</v>
      </c>
      <c r="D214" s="53">
        <v>77</v>
      </c>
      <c r="E214" s="53">
        <v>79</v>
      </c>
      <c r="F214" s="53">
        <f>IFERROR(VLOOKUP(A214,[1]Sheet1!$A$1:$B$247,2,FALSE),0)</f>
        <v>78</v>
      </c>
      <c r="G214" s="54">
        <f t="shared" si="8"/>
        <v>-1</v>
      </c>
    </row>
    <row r="215" spans="1:7" ht="15" x14ac:dyDescent="0.4">
      <c r="A215" s="9" t="s">
        <v>145</v>
      </c>
      <c r="B215" s="53">
        <v>87</v>
      </c>
      <c r="C215" s="53">
        <v>85</v>
      </c>
      <c r="D215" s="53">
        <v>83</v>
      </c>
      <c r="E215" s="53">
        <v>77</v>
      </c>
      <c r="F215" s="53">
        <f>IFERROR(VLOOKUP(A215,[1]Sheet1!$A$1:$B$247,2,FALSE),0)</f>
        <v>72</v>
      </c>
      <c r="G215" s="54">
        <f t="shared" si="8"/>
        <v>-5</v>
      </c>
    </row>
    <row r="216" spans="1:7" ht="15" x14ac:dyDescent="0.4">
      <c r="A216" s="9" t="s">
        <v>148</v>
      </c>
      <c r="B216" s="53">
        <v>55</v>
      </c>
      <c r="C216" s="53">
        <v>58</v>
      </c>
      <c r="D216" s="53">
        <v>61</v>
      </c>
      <c r="E216" s="53">
        <v>68</v>
      </c>
      <c r="F216" s="53">
        <f>IFERROR(VLOOKUP(A216,[1]Sheet1!$A$1:$B$247,2,FALSE),0)</f>
        <v>71</v>
      </c>
      <c r="G216" s="54">
        <f t="shared" si="8"/>
        <v>3</v>
      </c>
    </row>
    <row r="217" spans="1:7" ht="15" x14ac:dyDescent="0.4">
      <c r="A217" s="9" t="s">
        <v>316</v>
      </c>
      <c r="B217" s="53" t="s">
        <v>162</v>
      </c>
      <c r="C217" s="53" t="s">
        <v>162</v>
      </c>
      <c r="D217" s="53" t="s">
        <v>162</v>
      </c>
      <c r="E217" s="53" t="s">
        <v>162</v>
      </c>
      <c r="F217" s="53">
        <f>IFERROR(VLOOKUP(A217,[1]Sheet1!$A$1:$B$247,2,FALSE),0)</f>
        <v>56</v>
      </c>
      <c r="G217" s="54">
        <v>0</v>
      </c>
    </row>
    <row r="218" spans="1:7" ht="15" x14ac:dyDescent="0.4">
      <c r="A218" s="9" t="s">
        <v>149</v>
      </c>
      <c r="B218" s="53">
        <v>52</v>
      </c>
      <c r="C218" s="53">
        <v>51</v>
      </c>
      <c r="D218" s="53">
        <v>52</v>
      </c>
      <c r="E218" s="53">
        <v>53</v>
      </c>
      <c r="F218" s="53">
        <f>IFERROR(VLOOKUP(A218,[1]Sheet1!$A$1:$B$247,2,FALSE),0)</f>
        <v>51</v>
      </c>
      <c r="G218" s="54">
        <f t="shared" ref="G218:G233" si="9">F218-E218</f>
        <v>-2</v>
      </c>
    </row>
    <row r="219" spans="1:7" ht="15" x14ac:dyDescent="0.4">
      <c r="A219" s="9" t="s">
        <v>254</v>
      </c>
      <c r="B219" s="53" t="s">
        <v>162</v>
      </c>
      <c r="C219" s="53" t="s">
        <v>162</v>
      </c>
      <c r="D219" s="53" t="s">
        <v>162</v>
      </c>
      <c r="E219" s="53">
        <v>39</v>
      </c>
      <c r="F219" s="53">
        <f>IFERROR(VLOOKUP(A219,[1]Sheet1!$A$1:$B$247,2,FALSE),0)</f>
        <v>41</v>
      </c>
      <c r="G219" s="54">
        <f t="shared" si="9"/>
        <v>2</v>
      </c>
    </row>
    <row r="220" spans="1:7" ht="15" x14ac:dyDescent="0.4">
      <c r="A220" s="9" t="s">
        <v>241</v>
      </c>
      <c r="B220" s="53" t="s">
        <v>134</v>
      </c>
      <c r="C220" s="53" t="s">
        <v>134</v>
      </c>
      <c r="D220" s="53">
        <v>39</v>
      </c>
      <c r="E220" s="53">
        <v>37</v>
      </c>
      <c r="F220" s="53">
        <f>IFERROR(VLOOKUP(A220,[1]Sheet1!$A$1:$B$247,2,FALSE),0)</f>
        <v>36</v>
      </c>
      <c r="G220" s="54">
        <f t="shared" si="9"/>
        <v>-1</v>
      </c>
    </row>
    <row r="221" spans="1:7" ht="15" x14ac:dyDescent="0.4">
      <c r="A221" s="9" t="s">
        <v>252</v>
      </c>
      <c r="B221" s="53" t="s">
        <v>162</v>
      </c>
      <c r="C221" s="53" t="s">
        <v>162</v>
      </c>
      <c r="D221" s="53" t="s">
        <v>162</v>
      </c>
      <c r="E221" s="53">
        <v>33</v>
      </c>
      <c r="F221" s="53">
        <f>IFERROR(VLOOKUP(A221,[1]Sheet1!$A$1:$B$247,2,FALSE),0)</f>
        <v>33</v>
      </c>
      <c r="G221" s="54">
        <f t="shared" si="9"/>
        <v>0</v>
      </c>
    </row>
    <row r="222" spans="1:7" ht="15" x14ac:dyDescent="0.4">
      <c r="A222" s="9" t="s">
        <v>159</v>
      </c>
      <c r="B222" s="53" t="s">
        <v>134</v>
      </c>
      <c r="C222" s="53">
        <v>4</v>
      </c>
      <c r="D222" s="53">
        <v>14</v>
      </c>
      <c r="E222" s="53">
        <v>19</v>
      </c>
      <c r="F222" s="53">
        <f>IFERROR(VLOOKUP(A222,[1]Sheet1!$A$1:$B$247,2,FALSE),0)</f>
        <v>23</v>
      </c>
      <c r="G222" s="54">
        <f t="shared" si="9"/>
        <v>4</v>
      </c>
    </row>
    <row r="223" spans="1:7" ht="15" x14ac:dyDescent="0.4">
      <c r="A223" s="9" t="s">
        <v>175</v>
      </c>
      <c r="B223" s="53" t="s">
        <v>134</v>
      </c>
      <c r="C223" s="53">
        <v>21</v>
      </c>
      <c r="D223" s="53">
        <v>21</v>
      </c>
      <c r="E223" s="53">
        <v>21</v>
      </c>
      <c r="F223" s="53">
        <f>IFERROR(VLOOKUP(A223,[1]Sheet1!$A$1:$B$247,2,FALSE),0)</f>
        <v>20</v>
      </c>
      <c r="G223" s="54">
        <f t="shared" si="9"/>
        <v>-1</v>
      </c>
    </row>
    <row r="224" spans="1:7" ht="15" x14ac:dyDescent="0.4">
      <c r="A224" s="9" t="s">
        <v>151</v>
      </c>
      <c r="B224" s="53">
        <v>13</v>
      </c>
      <c r="C224" s="53">
        <v>14</v>
      </c>
      <c r="D224" s="53">
        <v>15</v>
      </c>
      <c r="E224" s="53">
        <v>15</v>
      </c>
      <c r="F224" s="53">
        <f>IFERROR(VLOOKUP(A224,[1]Sheet1!$A$1:$B$247,2,FALSE),0)</f>
        <v>20</v>
      </c>
      <c r="G224" s="54">
        <f t="shared" si="9"/>
        <v>5</v>
      </c>
    </row>
    <row r="225" spans="1:7" ht="15" x14ac:dyDescent="0.4">
      <c r="A225" s="9" t="s">
        <v>233</v>
      </c>
      <c r="B225" s="53" t="s">
        <v>134</v>
      </c>
      <c r="C225" s="53" t="s">
        <v>134</v>
      </c>
      <c r="D225" s="53">
        <v>5</v>
      </c>
      <c r="E225" s="53">
        <v>5</v>
      </c>
      <c r="F225" s="53">
        <f>IFERROR(VLOOKUP(A225,[1]Sheet1!$A$1:$B$247,2,FALSE),0)</f>
        <v>6</v>
      </c>
      <c r="G225" s="54">
        <f t="shared" si="9"/>
        <v>1</v>
      </c>
    </row>
    <row r="226" spans="1:7" ht="15" x14ac:dyDescent="0.4">
      <c r="A226" s="9" t="s">
        <v>153</v>
      </c>
      <c r="B226" s="53">
        <v>1</v>
      </c>
      <c r="C226" s="53">
        <v>1</v>
      </c>
      <c r="D226" s="53">
        <v>1</v>
      </c>
      <c r="E226" s="53">
        <v>1</v>
      </c>
      <c r="F226" s="53">
        <f>IFERROR(VLOOKUP(A226,[1]Sheet1!$A$1:$B$247,2,FALSE),0)</f>
        <v>1</v>
      </c>
      <c r="G226" s="54">
        <f t="shared" si="9"/>
        <v>0</v>
      </c>
    </row>
    <row r="227" spans="1:7" ht="15" x14ac:dyDescent="0.4">
      <c r="A227" s="9" t="s">
        <v>155</v>
      </c>
      <c r="B227" s="53">
        <v>1</v>
      </c>
      <c r="C227" s="53">
        <v>1</v>
      </c>
      <c r="D227" s="53">
        <v>1</v>
      </c>
      <c r="E227" s="53">
        <v>1</v>
      </c>
      <c r="F227" s="53">
        <f>IFERROR(VLOOKUP(A227,[1]Sheet1!$A$1:$B$247,2,FALSE),0)</f>
        <v>1</v>
      </c>
      <c r="G227" s="54">
        <f t="shared" si="9"/>
        <v>0</v>
      </c>
    </row>
    <row r="228" spans="1:7" ht="15" x14ac:dyDescent="0.4">
      <c r="A228" s="9" t="s">
        <v>157</v>
      </c>
      <c r="B228" s="53" t="s">
        <v>134</v>
      </c>
      <c r="C228" s="53">
        <v>1</v>
      </c>
      <c r="D228" s="53">
        <v>1</v>
      </c>
      <c r="E228" s="53">
        <v>1</v>
      </c>
      <c r="F228" s="53">
        <f>IFERROR(VLOOKUP(A228,[1]Sheet1!$A$1:$B$247,2,FALSE),0)</f>
        <v>1</v>
      </c>
      <c r="G228" s="54">
        <f t="shared" si="9"/>
        <v>0</v>
      </c>
    </row>
    <row r="229" spans="1:7" ht="15" x14ac:dyDescent="0.4">
      <c r="A229" s="9" t="s">
        <v>214</v>
      </c>
      <c r="B229" s="53" t="s">
        <v>134</v>
      </c>
      <c r="C229" s="53" t="s">
        <v>134</v>
      </c>
      <c r="D229" s="53">
        <v>1</v>
      </c>
      <c r="E229" s="53">
        <v>1</v>
      </c>
      <c r="F229" s="53">
        <f>IFERROR(VLOOKUP(A229,[1]Sheet1!$A$1:$B$247,2,FALSE),0)</f>
        <v>1</v>
      </c>
      <c r="G229" s="54">
        <f t="shared" si="9"/>
        <v>0</v>
      </c>
    </row>
    <row r="230" spans="1:7" ht="15" x14ac:dyDescent="0.4">
      <c r="A230" s="9" t="s">
        <v>223</v>
      </c>
      <c r="B230" s="53" t="s">
        <v>134</v>
      </c>
      <c r="C230" s="53" t="s">
        <v>134</v>
      </c>
      <c r="D230" s="53">
        <v>1</v>
      </c>
      <c r="E230" s="53">
        <v>1</v>
      </c>
      <c r="F230" s="53">
        <f>IFERROR(VLOOKUP(A230,[1]Sheet1!$A$1:$B$247,2,FALSE),0)</f>
        <v>1</v>
      </c>
      <c r="G230" s="54">
        <f t="shared" si="9"/>
        <v>0</v>
      </c>
    </row>
    <row r="231" spans="1:7" ht="15" x14ac:dyDescent="0.4">
      <c r="A231" s="9" t="s">
        <v>239</v>
      </c>
      <c r="B231" s="53" t="s">
        <v>134</v>
      </c>
      <c r="C231" s="53" t="s">
        <v>134</v>
      </c>
      <c r="D231" s="53">
        <v>1</v>
      </c>
      <c r="E231" s="53">
        <v>1</v>
      </c>
      <c r="F231" s="53">
        <f>IFERROR(VLOOKUP(A231,[1]Sheet1!$A$1:$B$247,2,FALSE),0)</f>
        <v>1</v>
      </c>
      <c r="G231" s="54">
        <f t="shared" si="9"/>
        <v>0</v>
      </c>
    </row>
    <row r="232" spans="1:7" ht="15" x14ac:dyDescent="0.4">
      <c r="A232" s="9" t="s">
        <v>242</v>
      </c>
      <c r="B232" s="53" t="s">
        <v>134</v>
      </c>
      <c r="C232" s="53" t="s">
        <v>134</v>
      </c>
      <c r="D232" s="53">
        <v>1</v>
      </c>
      <c r="E232" s="53">
        <v>1</v>
      </c>
      <c r="F232" s="53">
        <f>IFERROR(VLOOKUP(A232,[1]Sheet1!$A$1:$B$247,2,FALSE),0)</f>
        <v>1</v>
      </c>
      <c r="G232" s="54">
        <f t="shared" si="9"/>
        <v>0</v>
      </c>
    </row>
    <row r="233" spans="1:7" ht="15" x14ac:dyDescent="0.4">
      <c r="A233" s="9" t="s">
        <v>248</v>
      </c>
      <c r="B233" s="53" t="s">
        <v>162</v>
      </c>
      <c r="C233" s="53" t="s">
        <v>162</v>
      </c>
      <c r="D233" s="53" t="s">
        <v>162</v>
      </c>
      <c r="E233" s="53">
        <v>1</v>
      </c>
      <c r="F233" s="53">
        <f>IFERROR(VLOOKUP(A233,[1]Sheet1!$A$1:$B$247,2,FALSE),0)</f>
        <v>1</v>
      </c>
      <c r="G233" s="54">
        <f t="shared" si="9"/>
        <v>0</v>
      </c>
    </row>
    <row r="234" spans="1:7" ht="15" x14ac:dyDescent="0.4">
      <c r="A234" s="37" t="s">
        <v>245</v>
      </c>
      <c r="B234" s="62">
        <v>0</v>
      </c>
      <c r="C234" s="62">
        <v>0</v>
      </c>
      <c r="D234" s="62">
        <v>0</v>
      </c>
      <c r="E234" s="62">
        <v>0</v>
      </c>
      <c r="F234" s="53">
        <f>IFERROR(VLOOKUP(A234,[1]Sheet1!$A$1:$B$247,2,FALSE),0)</f>
        <v>0</v>
      </c>
    </row>
    <row r="235" spans="1:7" ht="15" x14ac:dyDescent="0.4">
      <c r="A235" s="9"/>
      <c r="B235" s="53"/>
      <c r="C235" s="53"/>
      <c r="D235" s="53"/>
      <c r="E235" s="53"/>
      <c r="F235" s="9"/>
      <c r="G235" s="8"/>
    </row>
    <row r="236" spans="1:7" ht="15" x14ac:dyDescent="0.4">
      <c r="A236" s="55" t="s">
        <v>246</v>
      </c>
      <c r="B236" s="56">
        <v>43986509</v>
      </c>
      <c r="C236" s="56">
        <v>44236861</v>
      </c>
      <c r="D236" s="56">
        <v>44237758</v>
      </c>
      <c r="E236" s="56">
        <f>SUM(E3:E234)</f>
        <v>44366885</v>
      </c>
      <c r="F236" s="56">
        <f>SUM(F3:F234)</f>
        <v>44927247</v>
      </c>
      <c r="G236" s="8"/>
    </row>
    <row r="237" spans="1:7" ht="15" x14ac:dyDescent="0.4">
      <c r="A237" s="9" t="s">
        <v>247</v>
      </c>
      <c r="B237" s="19">
        <v>1778504</v>
      </c>
      <c r="C237" s="19">
        <v>1356333</v>
      </c>
      <c r="D237" s="19">
        <v>1218372</v>
      </c>
      <c r="E237" s="19">
        <f>E238-E236</f>
        <v>1080883</v>
      </c>
      <c r="F237" s="63">
        <f>F238-F236</f>
        <v>37457</v>
      </c>
      <c r="G237" s="8"/>
    </row>
    <row r="238" spans="1:7" ht="15" x14ac:dyDescent="0.4">
      <c r="A238" s="55" t="s">
        <v>246</v>
      </c>
      <c r="B238" s="56">
        <v>45765013</v>
      </c>
      <c r="C238" s="56">
        <v>45593194</v>
      </c>
      <c r="D238" s="56">
        <v>45456130</v>
      </c>
      <c r="E238" s="64">
        <v>45447768</v>
      </c>
      <c r="F238" s="65">
        <v>44964704</v>
      </c>
      <c r="G238" s="8"/>
    </row>
    <row r="239" spans="1:7" x14ac:dyDescent="0.35">
      <c r="E239" s="38"/>
    </row>
  </sheetData>
  <autoFilter ref="A2:F234" xr:uid="{AE5E491D-B1C0-4BC7-8980-E45A8D5BD9FD}"/>
  <sortState xmlns:xlrd2="http://schemas.microsoft.com/office/spreadsheetml/2017/richdata2" ref="A42:G233">
    <sortCondition descending="1" ref="F42:F233"/>
  </sortState>
  <conditionalFormatting sqref="F234 F3">
    <cfRule type="aboveAverage" priority="7"/>
  </conditionalFormatting>
  <conditionalFormatting sqref="F237">
    <cfRule type="duplicateValues" dxfId="4" priority="5" stopIfTrue="1"/>
  </conditionalFormatting>
  <conditionalFormatting sqref="G1:G1048576">
    <cfRule type="cellIs" dxfId="3" priority="1" operator="greaterThan">
      <formula>8000</formula>
    </cfRule>
    <cfRule type="cellIs" dxfId="2" priority="2" operator="greaterThan">
      <formula>10000</formula>
    </cfRule>
    <cfRule type="cellIs" dxfId="1" priority="3" operator="lessThan">
      <formula>0</formula>
    </cfRule>
    <cfRule type="cellIs" dxfId="0" priority="4" operator="greaterThan">
      <formula>20000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96B4-18FF-49F5-A67F-EDE74F319EF0}">
  <dimension ref="A1:K28"/>
  <sheetViews>
    <sheetView topLeftCell="A9" workbookViewId="0">
      <selection activeCell="F17" sqref="F17"/>
    </sheetView>
  </sheetViews>
  <sheetFormatPr defaultRowHeight="14.5" x14ac:dyDescent="0.35"/>
  <sheetData>
    <row r="1" spans="1:11" ht="29" x14ac:dyDescent="0.35">
      <c r="A1" s="1" t="s">
        <v>13</v>
      </c>
      <c r="B1" s="1" t="s">
        <v>14</v>
      </c>
      <c r="C1" s="1" t="s">
        <v>15</v>
      </c>
      <c r="D1" s="1" t="s">
        <v>16</v>
      </c>
      <c r="G1" s="1" t="s">
        <v>13</v>
      </c>
      <c r="H1" s="1" t="s">
        <v>1</v>
      </c>
      <c r="J1" s="1" t="s">
        <v>13</v>
      </c>
      <c r="K1" s="1" t="s">
        <v>1</v>
      </c>
    </row>
    <row r="2" spans="1:11" x14ac:dyDescent="0.35">
      <c r="A2" s="2">
        <v>45383</v>
      </c>
      <c r="B2" s="3">
        <v>3.58</v>
      </c>
      <c r="C2" s="3">
        <v>11.4</v>
      </c>
      <c r="D2" s="3">
        <v>14.98</v>
      </c>
      <c r="G2" s="2">
        <v>45383</v>
      </c>
      <c r="H2" s="3">
        <v>20</v>
      </c>
      <c r="J2" s="2">
        <v>45748</v>
      </c>
      <c r="K2" s="3">
        <v>21</v>
      </c>
    </row>
    <row r="3" spans="1:11" x14ac:dyDescent="0.35">
      <c r="A3" s="2">
        <v>45413</v>
      </c>
      <c r="B3" s="3">
        <v>3.62</v>
      </c>
      <c r="C3" s="3">
        <v>11.7</v>
      </c>
      <c r="D3" s="3">
        <v>15.32</v>
      </c>
      <c r="G3" s="2">
        <v>45413</v>
      </c>
      <c r="H3" s="3">
        <v>22</v>
      </c>
      <c r="J3" s="2">
        <v>45778</v>
      </c>
      <c r="K3" s="3">
        <v>22</v>
      </c>
    </row>
    <row r="4" spans="1:11" x14ac:dyDescent="0.35">
      <c r="A4" s="2">
        <v>45444</v>
      </c>
      <c r="B4" s="3">
        <v>3.66</v>
      </c>
      <c r="C4" s="3">
        <v>12</v>
      </c>
      <c r="D4" s="3">
        <v>15.66</v>
      </c>
      <c r="G4" s="2">
        <v>45444</v>
      </c>
      <c r="H4" s="3">
        <v>20</v>
      </c>
      <c r="J4" s="2">
        <v>45809</v>
      </c>
      <c r="K4" s="3">
        <v>20</v>
      </c>
    </row>
    <row r="5" spans="1:11" x14ac:dyDescent="0.35">
      <c r="A5" s="2">
        <v>45474</v>
      </c>
      <c r="B5" s="3">
        <v>3.7</v>
      </c>
      <c r="C5" s="3">
        <v>12.5</v>
      </c>
      <c r="D5" s="3">
        <v>16.2</v>
      </c>
      <c r="G5" s="2">
        <v>45474</v>
      </c>
      <c r="H5" s="3">
        <v>23</v>
      </c>
      <c r="J5" s="2">
        <v>45839</v>
      </c>
      <c r="K5" s="3">
        <v>23</v>
      </c>
    </row>
    <row r="6" spans="1:11" x14ac:dyDescent="0.35">
      <c r="A6" s="2">
        <v>45505</v>
      </c>
      <c r="B6" s="3">
        <v>3.76</v>
      </c>
      <c r="C6" s="3">
        <v>13.34</v>
      </c>
      <c r="D6" s="3">
        <v>17.100000000000001</v>
      </c>
      <c r="G6" s="2">
        <v>45505</v>
      </c>
      <c r="H6" s="3">
        <v>22</v>
      </c>
      <c r="J6" s="2">
        <v>45870</v>
      </c>
      <c r="K6" s="3">
        <v>21</v>
      </c>
    </row>
    <row r="7" spans="1:11" x14ac:dyDescent="0.35">
      <c r="A7" s="2">
        <v>45536</v>
      </c>
      <c r="B7" s="3">
        <v>3.8</v>
      </c>
      <c r="C7" s="3">
        <v>13.8</v>
      </c>
      <c r="D7" s="3">
        <v>17.600000000000001</v>
      </c>
      <c r="G7" s="2">
        <v>45536</v>
      </c>
      <c r="H7" s="3">
        <v>20</v>
      </c>
      <c r="J7" s="2">
        <v>45901</v>
      </c>
      <c r="K7" s="3">
        <v>21</v>
      </c>
    </row>
    <row r="8" spans="1:11" x14ac:dyDescent="0.35">
      <c r="A8" s="2">
        <v>45566</v>
      </c>
      <c r="B8" s="3">
        <v>3.84</v>
      </c>
      <c r="C8" s="3">
        <v>14.2</v>
      </c>
      <c r="D8" s="3">
        <v>18.04</v>
      </c>
      <c r="G8" s="2">
        <v>45566</v>
      </c>
      <c r="H8" s="3">
        <v>21</v>
      </c>
      <c r="J8" s="2">
        <v>45931</v>
      </c>
      <c r="K8" s="3">
        <v>22</v>
      </c>
    </row>
    <row r="9" spans="1:11" x14ac:dyDescent="0.35">
      <c r="A9" s="2">
        <v>45597</v>
      </c>
      <c r="B9" s="3">
        <v>3.88</v>
      </c>
      <c r="C9" s="3">
        <v>14.7</v>
      </c>
      <c r="D9" s="3">
        <v>18.579999999999998</v>
      </c>
      <c r="G9" s="2">
        <v>45597</v>
      </c>
      <c r="H9" s="3">
        <v>19</v>
      </c>
      <c r="J9" s="2">
        <v>45962</v>
      </c>
      <c r="K9" s="3">
        <v>19</v>
      </c>
    </row>
    <row r="10" spans="1:11" x14ac:dyDescent="0.35">
      <c r="A10" s="2">
        <v>45627</v>
      </c>
      <c r="B10" s="3">
        <v>3.9</v>
      </c>
      <c r="C10" s="3">
        <v>15</v>
      </c>
      <c r="D10" s="3">
        <v>18.899999999999999</v>
      </c>
      <c r="G10" s="2">
        <v>45627</v>
      </c>
      <c r="H10" s="3">
        <v>21</v>
      </c>
      <c r="J10" s="2">
        <v>45992</v>
      </c>
      <c r="K10" s="3">
        <v>22</v>
      </c>
    </row>
    <row r="11" spans="1:11" x14ac:dyDescent="0.35">
      <c r="A11" s="2">
        <v>45658</v>
      </c>
      <c r="B11" s="3">
        <v>3.92</v>
      </c>
      <c r="C11" s="3">
        <v>15.1</v>
      </c>
      <c r="D11" s="3">
        <v>19.02</v>
      </c>
      <c r="G11" s="2">
        <v>45658</v>
      </c>
      <c r="H11" s="3">
        <v>22</v>
      </c>
      <c r="J11" s="2">
        <v>46023</v>
      </c>
      <c r="K11" s="3">
        <v>22</v>
      </c>
    </row>
    <row r="12" spans="1:11" x14ac:dyDescent="0.35">
      <c r="A12" s="2">
        <v>45689</v>
      </c>
      <c r="B12" s="3">
        <v>3.93</v>
      </c>
      <c r="C12" s="3">
        <v>15.13</v>
      </c>
      <c r="D12" s="3">
        <v>19.059999999999999</v>
      </c>
      <c r="G12" s="2">
        <v>45689</v>
      </c>
      <c r="H12" s="3">
        <v>20</v>
      </c>
      <c r="J12" s="2">
        <v>46054</v>
      </c>
      <c r="K12" s="3">
        <v>20</v>
      </c>
    </row>
    <row r="13" spans="1:11" x14ac:dyDescent="0.35">
      <c r="A13" s="4">
        <v>45717</v>
      </c>
      <c r="B13" s="5">
        <v>3.95</v>
      </c>
      <c r="C13" s="5">
        <v>15.3</v>
      </c>
      <c r="D13" s="5">
        <v>19.239999999999998</v>
      </c>
      <c r="G13" s="2">
        <v>45717</v>
      </c>
      <c r="H13" s="3">
        <v>21</v>
      </c>
      <c r="J13" s="2">
        <v>46082</v>
      </c>
      <c r="K13" s="3">
        <v>21</v>
      </c>
    </row>
    <row r="16" spans="1:11" x14ac:dyDescent="0.35">
      <c r="A16" s="1" t="s">
        <v>13</v>
      </c>
      <c r="B16" s="1" t="s">
        <v>14</v>
      </c>
      <c r="C16" s="1" t="s">
        <v>15</v>
      </c>
      <c r="D16" s="1" t="s">
        <v>16</v>
      </c>
    </row>
    <row r="17" spans="1:4" x14ac:dyDescent="0.35">
      <c r="A17" s="2">
        <v>45748</v>
      </c>
      <c r="B17" s="3">
        <v>3.98</v>
      </c>
      <c r="C17" s="3">
        <v>15.6</v>
      </c>
      <c r="D17" s="3">
        <v>19.579999999999998</v>
      </c>
    </row>
    <row r="18" spans="1:4" x14ac:dyDescent="0.35">
      <c r="A18" s="2">
        <v>45778</v>
      </c>
      <c r="B18" s="3">
        <v>4.0199999999999996</v>
      </c>
      <c r="C18" s="3">
        <v>15.9</v>
      </c>
      <c r="D18" s="3">
        <v>19.920000000000002</v>
      </c>
    </row>
    <row r="19" spans="1:4" x14ac:dyDescent="0.35">
      <c r="A19" s="2">
        <v>45809</v>
      </c>
      <c r="B19" s="3">
        <v>4.05</v>
      </c>
      <c r="C19" s="3">
        <v>16.05</v>
      </c>
      <c r="D19" s="3">
        <v>20.100000000000001</v>
      </c>
    </row>
    <row r="20" spans="1:4" x14ac:dyDescent="0.35">
      <c r="A20" s="4">
        <v>45839</v>
      </c>
      <c r="B20" s="5">
        <v>4.0999999999999996</v>
      </c>
      <c r="C20" s="5">
        <v>16.100000000000001</v>
      </c>
      <c r="D20" s="5">
        <v>20.2</v>
      </c>
    </row>
    <row r="21" spans="1:4" x14ac:dyDescent="0.35">
      <c r="A21" s="2">
        <v>45870</v>
      </c>
      <c r="B21" s="3">
        <v>4.1500000000000004</v>
      </c>
      <c r="C21" s="3">
        <v>16.5</v>
      </c>
      <c r="D21" s="3">
        <v>20.65</v>
      </c>
    </row>
    <row r="22" spans="1:4" x14ac:dyDescent="0.35">
      <c r="A22" s="2">
        <v>45901</v>
      </c>
      <c r="B22" s="3">
        <v>4.2</v>
      </c>
      <c r="C22" s="3">
        <v>16.899999999999999</v>
      </c>
      <c r="D22" s="3">
        <v>21.1</v>
      </c>
    </row>
    <row r="23" spans="1:4" x14ac:dyDescent="0.35">
      <c r="A23" s="2">
        <v>45931</v>
      </c>
      <c r="B23" s="5">
        <v>4.2</v>
      </c>
      <c r="C23" s="5">
        <v>16.8</v>
      </c>
      <c r="D23" s="5">
        <v>21</v>
      </c>
    </row>
    <row r="24" spans="1:4" x14ac:dyDescent="0.35">
      <c r="A24" s="2">
        <v>45962</v>
      </c>
      <c r="B24" s="3">
        <v>4.25</v>
      </c>
      <c r="C24" s="3">
        <v>17.100000000000001</v>
      </c>
      <c r="D24" s="3">
        <v>21.35</v>
      </c>
    </row>
    <row r="25" spans="1:4" x14ac:dyDescent="0.35">
      <c r="A25" s="2">
        <v>45992</v>
      </c>
      <c r="B25" s="5">
        <v>4.3</v>
      </c>
      <c r="C25" s="5">
        <v>17.3</v>
      </c>
      <c r="D25" s="5">
        <v>21.6</v>
      </c>
    </row>
    <row r="26" spans="1:4" x14ac:dyDescent="0.35">
      <c r="A26" s="2">
        <v>46023</v>
      </c>
      <c r="B26" s="3">
        <v>4.3600000000000003</v>
      </c>
      <c r="C26" s="3">
        <v>17.600000000000001</v>
      </c>
      <c r="D26" s="3">
        <v>21.96</v>
      </c>
    </row>
    <row r="27" spans="1:4" x14ac:dyDescent="0.35">
      <c r="A27" s="2">
        <v>46054</v>
      </c>
      <c r="B27" s="3">
        <v>4.4000000000000004</v>
      </c>
      <c r="C27" s="3">
        <v>17.850000000000001</v>
      </c>
      <c r="D27" s="3">
        <v>22.25</v>
      </c>
    </row>
    <row r="28" spans="1:4" x14ac:dyDescent="0.35">
      <c r="A28" s="4">
        <v>46082</v>
      </c>
      <c r="B28" s="5">
        <v>4.43</v>
      </c>
      <c r="C28" s="5">
        <v>18.02</v>
      </c>
      <c r="D28" s="5">
        <v>22.45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DE59-BFD8-496C-A2E9-86F7B3C5E585}">
  <dimension ref="A1:AE35"/>
  <sheetViews>
    <sheetView workbookViewId="0">
      <selection activeCell="E11" sqref="E11"/>
    </sheetView>
  </sheetViews>
  <sheetFormatPr defaultRowHeight="14.5" x14ac:dyDescent="0.35"/>
  <cols>
    <col min="1" max="1" width="20" bestFit="1" customWidth="1"/>
    <col min="2" max="14" width="10.26953125" customWidth="1"/>
    <col min="15" max="21" width="8.90625" bestFit="1" customWidth="1"/>
    <col min="22" max="22" width="9.08984375" bestFit="1" customWidth="1"/>
    <col min="23" max="23" width="10.1796875" bestFit="1" customWidth="1"/>
    <col min="24" max="25" width="12.1796875" bestFit="1" customWidth="1"/>
    <col min="26" max="26" width="9.08984375" bestFit="1" customWidth="1"/>
    <col min="27" max="27" width="10.1796875" bestFit="1" customWidth="1"/>
    <col min="28" max="28" width="12.1796875" bestFit="1" customWidth="1"/>
    <col min="29" max="29" width="11.453125" bestFit="1" customWidth="1"/>
    <col min="30" max="30" width="12.1796875" bestFit="1" customWidth="1"/>
    <col min="31" max="31" width="11.453125" bestFit="1" customWidth="1"/>
  </cols>
  <sheetData>
    <row r="1" spans="1:31" x14ac:dyDescent="0.35">
      <c r="B1" s="94">
        <v>46082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31" s="41" customFormat="1" ht="30" x14ac:dyDescent="0.4">
      <c r="A2" s="40" t="s">
        <v>301</v>
      </c>
      <c r="B2" s="40" t="s">
        <v>273</v>
      </c>
      <c r="C2" s="47"/>
      <c r="D2" s="47"/>
      <c r="E2" s="47"/>
      <c r="F2" s="47"/>
      <c r="G2" s="47"/>
      <c r="H2" s="47"/>
      <c r="I2" s="40"/>
      <c r="J2" s="40"/>
      <c r="K2" s="40"/>
      <c r="L2" s="40"/>
      <c r="M2" s="40"/>
      <c r="N2" s="40"/>
      <c r="Z2"/>
      <c r="AC2"/>
    </row>
    <row r="3" spans="1:31" x14ac:dyDescent="0.35">
      <c r="A3" s="35" t="s">
        <v>302</v>
      </c>
      <c r="B3" s="35"/>
      <c r="C3" s="46"/>
      <c r="D3" s="46"/>
      <c r="E3" s="46"/>
      <c r="F3" s="46"/>
      <c r="G3" s="46"/>
      <c r="H3" s="46"/>
      <c r="I3" s="35"/>
      <c r="J3" s="35"/>
      <c r="K3" s="35"/>
      <c r="L3" s="35"/>
      <c r="M3" s="35"/>
      <c r="N3" s="35"/>
    </row>
    <row r="4" spans="1:31" x14ac:dyDescent="0.35">
      <c r="A4" s="39" t="s">
        <v>274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31" x14ac:dyDescent="0.35">
      <c r="A5" s="39" t="s">
        <v>303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31" x14ac:dyDescent="0.35">
      <c r="A6" s="39" t="s">
        <v>275</v>
      </c>
      <c r="B6" s="35"/>
      <c r="C6" s="35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31" x14ac:dyDescent="0.35">
      <c r="A7" s="35" t="s">
        <v>296</v>
      </c>
      <c r="B7" s="35"/>
      <c r="C7" s="44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45"/>
      <c r="AC7" s="45"/>
      <c r="AD7" s="45"/>
      <c r="AE7" s="45"/>
    </row>
    <row r="8" spans="1:31" x14ac:dyDescent="0.35">
      <c r="A8" s="35" t="s">
        <v>276</v>
      </c>
      <c r="B8" s="35"/>
      <c r="C8" s="44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</row>
    <row r="9" spans="1:31" x14ac:dyDescent="0.35">
      <c r="A9" s="35" t="s">
        <v>288</v>
      </c>
      <c r="B9" s="35"/>
      <c r="C9" s="44"/>
      <c r="D9" s="97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45"/>
      <c r="AC9" s="45"/>
      <c r="AD9" s="45"/>
      <c r="AE9" s="45"/>
    </row>
    <row r="10" spans="1:31" x14ac:dyDescent="0.35">
      <c r="A10" s="35" t="s">
        <v>290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31" x14ac:dyDescent="0.35">
      <c r="A11" s="35" t="s">
        <v>289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31" x14ac:dyDescent="0.35">
      <c r="A12" s="35" t="s">
        <v>277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spans="1:31" x14ac:dyDescent="0.35">
      <c r="A13" s="35"/>
      <c r="B13" s="35"/>
      <c r="C13" s="92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45"/>
      <c r="W13" s="45"/>
      <c r="X13" s="45"/>
      <c r="Y13" s="45"/>
      <c r="Z13" s="45"/>
      <c r="AA13" s="45"/>
      <c r="AB13" s="45"/>
      <c r="AC13" s="45"/>
      <c r="AD13" s="45"/>
      <c r="AE13" s="45"/>
    </row>
    <row r="14" spans="1:31" x14ac:dyDescent="0.35">
      <c r="A14" s="35" t="s">
        <v>297</v>
      </c>
      <c r="B14" s="35"/>
      <c r="C14" s="92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45"/>
      <c r="W14" s="45"/>
      <c r="X14" s="45"/>
      <c r="Y14" s="45"/>
      <c r="Z14" s="45"/>
      <c r="AA14" s="45"/>
      <c r="AB14" s="45"/>
      <c r="AC14" s="45"/>
      <c r="AD14" s="45"/>
      <c r="AE14" s="45"/>
    </row>
    <row r="15" spans="1:31" x14ac:dyDescent="0.35">
      <c r="A15" s="35" t="s">
        <v>298</v>
      </c>
      <c r="B15" s="35"/>
      <c r="C15" s="92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W15" s="45"/>
      <c r="X15" s="45"/>
      <c r="Y15" s="45"/>
      <c r="Z15" s="45"/>
      <c r="AA15" s="45"/>
      <c r="AB15" s="45"/>
      <c r="AC15" s="45"/>
      <c r="AE15" s="45"/>
    </row>
    <row r="16" spans="1:31" x14ac:dyDescent="0.35">
      <c r="A16" s="35" t="s">
        <v>278</v>
      </c>
      <c r="B16" s="35"/>
      <c r="C16" s="92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</row>
    <row r="17" spans="1:20" x14ac:dyDescent="0.35">
      <c r="A17" s="35" t="s">
        <v>279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20" x14ac:dyDescent="0.35">
      <c r="A18" s="35" t="s">
        <v>299</v>
      </c>
      <c r="B18" s="35"/>
      <c r="C18" s="92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</row>
    <row r="19" spans="1:20" x14ac:dyDescent="0.35">
      <c r="A19" s="35" t="s">
        <v>300</v>
      </c>
      <c r="B19" s="35"/>
      <c r="C19" s="92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1:20" x14ac:dyDescent="0.35">
      <c r="A20" s="35" t="s">
        <v>280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20" x14ac:dyDescent="0.3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1:20" x14ac:dyDescent="0.35">
      <c r="A22" s="35" t="s">
        <v>281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1:20" x14ac:dyDescent="0.35">
      <c r="A23" s="35" t="s">
        <v>282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20" x14ac:dyDescent="0.3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1:20" x14ac:dyDescent="0.35">
      <c r="A25" s="35" t="s">
        <v>283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1:20" x14ac:dyDescent="0.35">
      <c r="A26" s="35" t="s">
        <v>284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spans="1:20" x14ac:dyDescent="0.3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1:20" x14ac:dyDescent="0.35">
      <c r="A28" s="35" t="s">
        <v>286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spans="1:20" x14ac:dyDescent="0.35">
      <c r="A29" s="35" t="s">
        <v>287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 spans="1:20" x14ac:dyDescent="0.35">
      <c r="A30" s="35" t="s">
        <v>285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2" spans="1:20" x14ac:dyDescent="0.35">
      <c r="A32" s="35" t="s">
        <v>291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1:14" x14ac:dyDescent="0.35">
      <c r="A33" s="35" t="s">
        <v>293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1:14" x14ac:dyDescent="0.3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spans="1:14" x14ac:dyDescent="0.35">
      <c r="A35" s="35" t="s">
        <v>292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</sheetData>
  <mergeCells count="7">
    <mergeCell ref="C13:U16"/>
    <mergeCell ref="C18:T19"/>
    <mergeCell ref="B1:N1"/>
    <mergeCell ref="P9:AA9"/>
    <mergeCell ref="D9:O9"/>
    <mergeCell ref="P7:AA7"/>
    <mergeCell ref="D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Broking data</vt:lpstr>
      <vt:lpstr>MF &amp; SIF Data</vt:lpstr>
      <vt:lpstr>NSE active client data</vt:lpstr>
      <vt:lpstr>Sheet2</vt:lpstr>
      <vt:lpstr>Competition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Selwadiya</dc:creator>
  <cp:lastModifiedBy>Siddhant Sawant</cp:lastModifiedBy>
  <dcterms:created xsi:type="dcterms:W3CDTF">2026-04-27T10:10:29Z</dcterms:created>
  <dcterms:modified xsi:type="dcterms:W3CDTF">2026-09-16T06:24:03Z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6212d9-442e-4bc2-bf33-70c7c4639fec_Enabled">
    <vt:lpwstr>true</vt:lpwstr>
  </property>
  <property fmtid="{D5CDD505-2E9C-101B-9397-08002B2CF9AE}" pid="3" name="MSIP_Label_766212d9-442e-4bc2-bf33-70c7c4639fec_SetDate">
    <vt:lpwstr>2026-04-27T10:10:32Z</vt:lpwstr>
  </property>
  <property fmtid="{D5CDD505-2E9C-101B-9397-08002B2CF9AE}" pid="4" name="MSIP_Label_766212d9-442e-4bc2-bf33-70c7c4639fec_Method">
    <vt:lpwstr>Standard</vt:lpwstr>
  </property>
  <property fmtid="{D5CDD505-2E9C-101B-9397-08002B2CF9AE}" pid="5" name="MSIP_Label_766212d9-442e-4bc2-bf33-70c7c4639fec_Name">
    <vt:lpwstr>Internal</vt:lpwstr>
  </property>
  <property fmtid="{D5CDD505-2E9C-101B-9397-08002B2CF9AE}" pid="6" name="MSIP_Label_766212d9-442e-4bc2-bf33-70c7c4639fec_SiteId">
    <vt:lpwstr>eb58ee03-bd10-49c4-94cd-70cb086d197b</vt:lpwstr>
  </property>
  <property fmtid="{D5CDD505-2E9C-101B-9397-08002B2CF9AE}" pid="7" name="MSIP_Label_766212d9-442e-4bc2-bf33-70c7c4639fec_ActionId">
    <vt:lpwstr>9837e51e-83d8-487a-bc98-ee817b05fbcd</vt:lpwstr>
  </property>
  <property fmtid="{D5CDD505-2E9C-101B-9397-08002B2CF9AE}" pid="8" name="MSIP_Label_766212d9-442e-4bc2-bf33-70c7c4639fec_ContentBits">
    <vt:lpwstr>2</vt:lpwstr>
  </property>
  <property fmtid="{D5CDD505-2E9C-101B-9397-08002B2CF9AE}" pid="9" name="MSIP_Label_766212d9-442e-4bc2-bf33-70c7c4639fec_Tag">
    <vt:lpwstr>10, 3, 0, 1</vt:lpwstr>
  </property>
</Properties>
</file>